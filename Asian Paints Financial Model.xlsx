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61BB6F06-F146-49B3-A193-C8FC4C6EC733}" xr6:coauthVersionLast="47" xr6:coauthVersionMax="47" xr10:uidLastSave="{00000000-0000-0000-0000-000000000000}"/>
  <bookViews>
    <workbookView xWindow="-110" yWindow="-110" windowWidth="19420" windowHeight="11020" tabRatio="720" xr2:uid="{9BBCD017-A4CB-4847-B2A2-652F40751E3A}"/>
  </bookViews>
  <sheets>
    <sheet name="Dashboard" sheetId="13" r:id="rId1"/>
    <sheet name="Data Sheet" sheetId="7" r:id="rId2"/>
    <sheet name="Historical FS" sheetId="1" r:id="rId3"/>
    <sheet name="Ratio Analysis" sheetId="3" r:id="rId4"/>
    <sheet name="Projections" sheetId="11" r:id="rId5"/>
    <sheet name="Sensitivity Analysis" sheetId="12" r:id="rId6"/>
  </sheets>
  <definedNames>
    <definedName name="UPDATE" localSheetId="1">'Data Sheet'!$E$1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8" i="13" l="1"/>
  <c r="B15" i="12" l="1"/>
  <c r="B14" i="12" s="1"/>
  <c r="B13" i="12" s="1"/>
  <c r="E12" i="12"/>
  <c r="F12" i="12" s="1"/>
  <c r="G12" i="12" s="1"/>
  <c r="N5" i="11"/>
  <c r="O5" i="11" s="1"/>
  <c r="P5" i="11" s="1"/>
  <c r="Q5" i="11" s="1"/>
  <c r="R5" i="11" s="1"/>
  <c r="M5" i="11"/>
  <c r="D37" i="3"/>
  <c r="E37" i="3"/>
  <c r="F37" i="3"/>
  <c r="G37" i="3"/>
  <c r="H37" i="3"/>
  <c r="I37" i="3"/>
  <c r="J37" i="3"/>
  <c r="K37" i="3"/>
  <c r="L37" i="3"/>
  <c r="C37" i="3"/>
  <c r="N35" i="3"/>
  <c r="O35" i="3"/>
  <c r="D35" i="3"/>
  <c r="E35" i="3"/>
  <c r="F35" i="3"/>
  <c r="G35" i="3"/>
  <c r="H35" i="3"/>
  <c r="I35" i="3"/>
  <c r="J35" i="3"/>
  <c r="K35" i="3"/>
  <c r="L35" i="3"/>
  <c r="C35" i="3"/>
  <c r="N28" i="3"/>
  <c r="O28" i="3"/>
  <c r="D28" i="3"/>
  <c r="E28" i="3"/>
  <c r="F28" i="3"/>
  <c r="G28" i="3"/>
  <c r="H28" i="3"/>
  <c r="I28" i="3"/>
  <c r="J28" i="3"/>
  <c r="K28" i="3"/>
  <c r="L28" i="3"/>
  <c r="C28" i="3"/>
  <c r="B16" i="12" l="1"/>
  <c r="B17" i="12" s="1"/>
  <c r="D12" i="12"/>
  <c r="C12" i="12" s="1"/>
  <c r="N37" i="3"/>
  <c r="O37" i="3"/>
  <c r="D87" i="1" l="1"/>
  <c r="E87" i="1"/>
  <c r="F87" i="1"/>
  <c r="G87" i="1"/>
  <c r="H87" i="1"/>
  <c r="I87" i="1"/>
  <c r="J87" i="1"/>
  <c r="K87" i="1"/>
  <c r="L87" i="1"/>
  <c r="D88" i="1"/>
  <c r="E88" i="1"/>
  <c r="F88" i="1"/>
  <c r="G88" i="1"/>
  <c r="H88" i="1"/>
  <c r="I88" i="1"/>
  <c r="J88" i="1"/>
  <c r="K88" i="1"/>
  <c r="L88" i="1"/>
  <c r="D89" i="1"/>
  <c r="E89" i="1"/>
  <c r="F89" i="1"/>
  <c r="G89" i="1"/>
  <c r="H89" i="1"/>
  <c r="I89" i="1"/>
  <c r="J89" i="1"/>
  <c r="K89" i="1"/>
  <c r="L89" i="1"/>
  <c r="D90" i="1"/>
  <c r="E90" i="1"/>
  <c r="F90" i="1"/>
  <c r="G90" i="1"/>
  <c r="H90" i="1"/>
  <c r="I90" i="1"/>
  <c r="J90" i="1"/>
  <c r="K90" i="1"/>
  <c r="L90" i="1"/>
  <c r="D91" i="1"/>
  <c r="E91" i="1"/>
  <c r="F91" i="1"/>
  <c r="G91" i="1"/>
  <c r="H91" i="1"/>
  <c r="I91" i="1"/>
  <c r="J91" i="1"/>
  <c r="K91" i="1"/>
  <c r="L91" i="1"/>
  <c r="D92" i="1"/>
  <c r="E92" i="1"/>
  <c r="F92" i="1"/>
  <c r="G92" i="1"/>
  <c r="H92" i="1"/>
  <c r="I92" i="1"/>
  <c r="J92" i="1"/>
  <c r="K92" i="1"/>
  <c r="L92" i="1"/>
  <c r="D93" i="1"/>
  <c r="E93" i="1"/>
  <c r="F93" i="1"/>
  <c r="G93" i="1"/>
  <c r="H93" i="1"/>
  <c r="I93" i="1"/>
  <c r="J93" i="1"/>
  <c r="K93" i="1"/>
  <c r="L93" i="1"/>
  <c r="D94" i="1"/>
  <c r="E94" i="1"/>
  <c r="F94" i="1"/>
  <c r="G94" i="1"/>
  <c r="H94" i="1"/>
  <c r="I94" i="1"/>
  <c r="J94" i="1"/>
  <c r="K94" i="1"/>
  <c r="L94" i="1"/>
  <c r="D95" i="1"/>
  <c r="E95" i="1"/>
  <c r="F95" i="1"/>
  <c r="G95" i="1"/>
  <c r="H95" i="1"/>
  <c r="I95" i="1"/>
  <c r="J95" i="1"/>
  <c r="K95" i="1"/>
  <c r="L95" i="1"/>
  <c r="C91" i="1"/>
  <c r="D99" i="1"/>
  <c r="E99" i="1"/>
  <c r="F99" i="1"/>
  <c r="G99" i="1"/>
  <c r="H99" i="1"/>
  <c r="I99" i="1"/>
  <c r="J99" i="1"/>
  <c r="K99" i="1"/>
  <c r="L99" i="1"/>
  <c r="C99" i="1"/>
  <c r="C95" i="1"/>
  <c r="C90" i="1" l="1"/>
  <c r="C92" i="1"/>
  <c r="C93" i="1"/>
  <c r="C94" i="1"/>
  <c r="C89" i="1"/>
  <c r="C88" i="1"/>
  <c r="C87" i="1"/>
  <c r="D86" i="1"/>
  <c r="E86" i="1"/>
  <c r="F86" i="1"/>
  <c r="G86" i="1"/>
  <c r="H86" i="1"/>
  <c r="I86" i="1"/>
  <c r="J86" i="1"/>
  <c r="K86" i="1"/>
  <c r="L86" i="1"/>
  <c r="C86" i="1"/>
  <c r="D82" i="1"/>
  <c r="E82" i="1"/>
  <c r="F82" i="1"/>
  <c r="G82" i="1"/>
  <c r="H82" i="1"/>
  <c r="I82" i="1"/>
  <c r="J82" i="1"/>
  <c r="K82" i="1"/>
  <c r="L82" i="1"/>
  <c r="C82" i="1"/>
  <c r="D81" i="1"/>
  <c r="E81" i="1"/>
  <c r="F81" i="1"/>
  <c r="G81" i="1"/>
  <c r="H81" i="1"/>
  <c r="I81" i="1"/>
  <c r="J81" i="1"/>
  <c r="K81" i="1"/>
  <c r="L81" i="1"/>
  <c r="C81" i="1"/>
  <c r="D80" i="1"/>
  <c r="E80" i="1"/>
  <c r="F80" i="1"/>
  <c r="G80" i="1"/>
  <c r="H80" i="1"/>
  <c r="I80" i="1"/>
  <c r="J80" i="1"/>
  <c r="K80" i="1"/>
  <c r="L80" i="1"/>
  <c r="C80" i="1"/>
  <c r="M39" i="1" l="1"/>
  <c r="J39" i="1"/>
  <c r="K39" i="1"/>
  <c r="L39" i="1"/>
  <c r="D39" i="1" l="1"/>
  <c r="E39" i="1"/>
  <c r="F39" i="1"/>
  <c r="G39" i="1"/>
  <c r="H39" i="1"/>
  <c r="I39" i="1"/>
  <c r="C39" i="1"/>
  <c r="M29" i="13"/>
  <c r="C19" i="12"/>
  <c r="C1" i="13"/>
  <c r="C20" i="12" l="1"/>
  <c r="S10" i="13"/>
  <c r="S9" i="13"/>
  <c r="S8" i="13"/>
  <c r="S5" i="13"/>
  <c r="S4" i="13"/>
  <c r="S3" i="13"/>
  <c r="M30" i="13"/>
  <c r="O19" i="13"/>
  <c r="O18" i="13"/>
  <c r="B6" i="11"/>
  <c r="B29" i="11" l="1"/>
  <c r="B27" i="11"/>
  <c r="D26" i="11"/>
  <c r="E26" i="11" s="1"/>
  <c r="F26" i="11" s="1"/>
  <c r="G26" i="11" s="1"/>
  <c r="H26" i="11" s="1"/>
  <c r="I26" i="11" s="1"/>
  <c r="J26" i="11" s="1"/>
  <c r="K26" i="11" s="1"/>
  <c r="L26" i="11" s="1"/>
  <c r="B24" i="11"/>
  <c r="B2" i="11"/>
  <c r="B7" i="11"/>
  <c r="B5" i="11"/>
  <c r="D4" i="11"/>
  <c r="E4" i="11" s="1"/>
  <c r="F4" i="11" s="1"/>
  <c r="M26" i="11" l="1"/>
  <c r="N26" i="11" s="1"/>
  <c r="O26" i="11" s="1"/>
  <c r="P26" i="11" s="1"/>
  <c r="Q26" i="11" s="1"/>
  <c r="R26" i="11" s="1"/>
  <c r="G4" i="11"/>
  <c r="H4" i="11" s="1"/>
  <c r="I4" i="11" s="1"/>
  <c r="J4" i="11" s="1"/>
  <c r="K4" i="11" s="1"/>
  <c r="L4" i="11" s="1"/>
  <c r="M4" i="11" l="1"/>
  <c r="N4" i="11" s="1"/>
  <c r="O4" i="11" s="1"/>
  <c r="P4" i="11" s="1"/>
  <c r="Q4" i="11" s="1"/>
  <c r="R4" i="11" s="1"/>
  <c r="B2" i="3" l="1"/>
  <c r="L3" i="3"/>
  <c r="K3" i="3"/>
  <c r="J3" i="3"/>
  <c r="I3" i="3"/>
  <c r="H3" i="3"/>
  <c r="G3" i="3"/>
  <c r="F3" i="3"/>
  <c r="E3" i="3"/>
  <c r="D3" i="3"/>
  <c r="C3" i="3"/>
  <c r="M42" i="1"/>
  <c r="M17" i="1"/>
  <c r="M26" i="1"/>
  <c r="D26" i="1"/>
  <c r="E26" i="1"/>
  <c r="F26" i="1"/>
  <c r="G26" i="1"/>
  <c r="H26" i="1"/>
  <c r="I26" i="1"/>
  <c r="J26" i="1"/>
  <c r="K26" i="1"/>
  <c r="L26" i="1"/>
  <c r="C26" i="1"/>
  <c r="C101" i="1"/>
  <c r="D101" i="1"/>
  <c r="E101" i="1"/>
  <c r="F101" i="1"/>
  <c r="G101" i="1"/>
  <c r="H101" i="1"/>
  <c r="I101" i="1"/>
  <c r="J101" i="1"/>
  <c r="K101" i="1"/>
  <c r="L101" i="1"/>
  <c r="C102" i="1"/>
  <c r="D102" i="1"/>
  <c r="E102" i="1"/>
  <c r="F102" i="1"/>
  <c r="G102" i="1"/>
  <c r="H102" i="1"/>
  <c r="I102" i="1"/>
  <c r="J102" i="1"/>
  <c r="K102" i="1"/>
  <c r="L102" i="1"/>
  <c r="C103" i="1"/>
  <c r="D103" i="1"/>
  <c r="E103" i="1"/>
  <c r="F103" i="1"/>
  <c r="G103" i="1"/>
  <c r="H103" i="1"/>
  <c r="I103" i="1"/>
  <c r="J103" i="1"/>
  <c r="K103" i="1"/>
  <c r="L103" i="1"/>
  <c r="C104" i="1"/>
  <c r="D104" i="1"/>
  <c r="E104" i="1"/>
  <c r="F104" i="1"/>
  <c r="G104" i="1"/>
  <c r="H104" i="1"/>
  <c r="I104" i="1"/>
  <c r="J104" i="1"/>
  <c r="K104" i="1"/>
  <c r="L104" i="1"/>
  <c r="C105" i="1"/>
  <c r="D105" i="1"/>
  <c r="E105" i="1"/>
  <c r="F105" i="1"/>
  <c r="G105" i="1"/>
  <c r="H105" i="1"/>
  <c r="I105" i="1"/>
  <c r="J105" i="1"/>
  <c r="K105" i="1"/>
  <c r="L105" i="1"/>
  <c r="D100" i="1"/>
  <c r="E100" i="1"/>
  <c r="F100" i="1"/>
  <c r="G100" i="1"/>
  <c r="H100" i="1"/>
  <c r="I100" i="1"/>
  <c r="I106" i="1" s="1"/>
  <c r="J100" i="1"/>
  <c r="K100" i="1"/>
  <c r="L100" i="1"/>
  <c r="C100" i="1"/>
  <c r="C77" i="1"/>
  <c r="D77" i="1"/>
  <c r="E77" i="1"/>
  <c r="F77" i="1"/>
  <c r="G77" i="1"/>
  <c r="H77" i="1"/>
  <c r="I77" i="1"/>
  <c r="J77" i="1"/>
  <c r="K77" i="1"/>
  <c r="L77" i="1"/>
  <c r="C78" i="1"/>
  <c r="D78" i="1"/>
  <c r="E78" i="1"/>
  <c r="F78" i="1"/>
  <c r="G78" i="1"/>
  <c r="H78" i="1"/>
  <c r="I78" i="1"/>
  <c r="J78" i="1"/>
  <c r="K78" i="1"/>
  <c r="L78" i="1"/>
  <c r="C79" i="1"/>
  <c r="D79" i="1"/>
  <c r="E79" i="1"/>
  <c r="F79" i="1"/>
  <c r="G79" i="1"/>
  <c r="H79" i="1"/>
  <c r="I79" i="1"/>
  <c r="J79" i="1"/>
  <c r="K79" i="1"/>
  <c r="L79" i="1"/>
  <c r="D76" i="1"/>
  <c r="E76" i="1"/>
  <c r="F76" i="1"/>
  <c r="G76" i="1"/>
  <c r="H76" i="1"/>
  <c r="I76" i="1"/>
  <c r="J76" i="1"/>
  <c r="K76" i="1"/>
  <c r="L76" i="1"/>
  <c r="C76" i="1"/>
  <c r="H106" i="1" l="1"/>
  <c r="G106" i="1"/>
  <c r="F106" i="1"/>
  <c r="C106" i="1"/>
  <c r="E106" i="1"/>
  <c r="L106" i="1"/>
  <c r="K106" i="1"/>
  <c r="D106" i="1"/>
  <c r="J106" i="1"/>
  <c r="L83" i="1"/>
  <c r="K96" i="1"/>
  <c r="I96" i="1"/>
  <c r="E83" i="1"/>
  <c r="G96" i="1"/>
  <c r="H96" i="1"/>
  <c r="K83" i="1"/>
  <c r="C96" i="1"/>
  <c r="E96" i="1"/>
  <c r="J96" i="1"/>
  <c r="L96" i="1"/>
  <c r="D96" i="1"/>
  <c r="C83" i="1"/>
  <c r="F96" i="1"/>
  <c r="D83" i="1"/>
  <c r="J83" i="1"/>
  <c r="I83" i="1"/>
  <c r="H83" i="1"/>
  <c r="G83" i="1"/>
  <c r="F83" i="1"/>
  <c r="D62" i="1"/>
  <c r="E62" i="1"/>
  <c r="F62" i="1"/>
  <c r="G62" i="1"/>
  <c r="H62" i="1"/>
  <c r="I62" i="1"/>
  <c r="J62" i="1"/>
  <c r="K62" i="1"/>
  <c r="L62" i="1"/>
  <c r="C62" i="1"/>
  <c r="C59" i="1"/>
  <c r="D59" i="1"/>
  <c r="E59" i="1"/>
  <c r="F59" i="1"/>
  <c r="G59" i="1"/>
  <c r="H59" i="1"/>
  <c r="I59" i="1"/>
  <c r="J59" i="1"/>
  <c r="K59" i="1"/>
  <c r="L59" i="1"/>
  <c r="C66" i="1"/>
  <c r="D66" i="1"/>
  <c r="E66" i="1"/>
  <c r="F66" i="1"/>
  <c r="G66" i="1"/>
  <c r="H66" i="1"/>
  <c r="I66" i="1"/>
  <c r="J66" i="1"/>
  <c r="K66" i="1"/>
  <c r="L66" i="1"/>
  <c r="C67" i="1"/>
  <c r="D67" i="1"/>
  <c r="E67" i="1"/>
  <c r="F67" i="1"/>
  <c r="G67" i="1"/>
  <c r="H67" i="1"/>
  <c r="I67" i="1"/>
  <c r="J67" i="1"/>
  <c r="K67" i="1"/>
  <c r="L67" i="1"/>
  <c r="D65" i="1"/>
  <c r="E65" i="1"/>
  <c r="F65" i="1"/>
  <c r="G65" i="1"/>
  <c r="H65" i="1"/>
  <c r="I65" i="1"/>
  <c r="J65" i="1"/>
  <c r="K65" i="1"/>
  <c r="L65" i="1"/>
  <c r="C65" i="1"/>
  <c r="D60" i="1"/>
  <c r="E60" i="1"/>
  <c r="F60" i="1"/>
  <c r="G60" i="1"/>
  <c r="H60" i="1"/>
  <c r="I60" i="1"/>
  <c r="J60" i="1"/>
  <c r="K60" i="1"/>
  <c r="L60" i="1"/>
  <c r="D61" i="1"/>
  <c r="E61" i="1"/>
  <c r="F61" i="1"/>
  <c r="G61" i="1"/>
  <c r="H61" i="1"/>
  <c r="I61" i="1"/>
  <c r="J61" i="1"/>
  <c r="K61" i="1"/>
  <c r="L61" i="1"/>
  <c r="C60" i="1"/>
  <c r="C61" i="1"/>
  <c r="D53" i="1"/>
  <c r="E53" i="1"/>
  <c r="F53" i="1"/>
  <c r="G53" i="1"/>
  <c r="H53" i="1"/>
  <c r="I53" i="1"/>
  <c r="J53" i="1"/>
  <c r="K53" i="1"/>
  <c r="L53" i="1"/>
  <c r="D54" i="1"/>
  <c r="E54" i="1"/>
  <c r="F54" i="1"/>
  <c r="G54" i="1"/>
  <c r="H54" i="1"/>
  <c r="I54" i="1"/>
  <c r="J54" i="1"/>
  <c r="K54" i="1"/>
  <c r="L54" i="1"/>
  <c r="D55" i="1"/>
  <c r="E55" i="1"/>
  <c r="F55" i="1"/>
  <c r="G55" i="1"/>
  <c r="H55" i="1"/>
  <c r="I55" i="1"/>
  <c r="J55" i="1"/>
  <c r="K55" i="1"/>
  <c r="L55" i="1"/>
  <c r="D56" i="1"/>
  <c r="E56" i="1"/>
  <c r="F56" i="1"/>
  <c r="G56" i="1"/>
  <c r="H56" i="1"/>
  <c r="I56" i="1"/>
  <c r="J56" i="1"/>
  <c r="K56" i="1"/>
  <c r="L56" i="1"/>
  <c r="C54" i="1"/>
  <c r="C55" i="1"/>
  <c r="C56" i="1"/>
  <c r="C53" i="1"/>
  <c r="D42" i="1"/>
  <c r="D47" i="1" s="1"/>
  <c r="E42" i="1"/>
  <c r="E47" i="1" s="1"/>
  <c r="F42" i="1"/>
  <c r="F47" i="1" s="1"/>
  <c r="G42" i="1"/>
  <c r="G47" i="1" s="1"/>
  <c r="G9" i="3" s="1"/>
  <c r="H42" i="1"/>
  <c r="H47" i="1" s="1"/>
  <c r="I42" i="1"/>
  <c r="I47" i="1" s="1"/>
  <c r="J42" i="1"/>
  <c r="J47" i="1" s="1"/>
  <c r="K42" i="1"/>
  <c r="K47" i="1" s="1"/>
  <c r="L42" i="1"/>
  <c r="L47" i="1" s="1"/>
  <c r="C42" i="1"/>
  <c r="C47" i="1" s="1"/>
  <c r="M35" i="1"/>
  <c r="E9" i="3" l="1"/>
  <c r="L9" i="3"/>
  <c r="K9" i="3"/>
  <c r="I9" i="3"/>
  <c r="J9" i="3"/>
  <c r="F9" i="3"/>
  <c r="F41" i="3"/>
  <c r="D9" i="3"/>
  <c r="G41" i="3"/>
  <c r="E41" i="3"/>
  <c r="H41" i="3"/>
  <c r="C41" i="3"/>
  <c r="I41" i="3"/>
  <c r="L41" i="3"/>
  <c r="J41" i="3"/>
  <c r="K41" i="3"/>
  <c r="H9" i="3"/>
  <c r="D41" i="3"/>
  <c r="G108" i="1"/>
  <c r="K108" i="1"/>
  <c r="F108" i="1"/>
  <c r="I108" i="1"/>
  <c r="L108" i="1"/>
  <c r="J108" i="1"/>
  <c r="D108" i="1"/>
  <c r="K68" i="1"/>
  <c r="H108" i="1"/>
  <c r="C108" i="1"/>
  <c r="E108" i="1"/>
  <c r="L68" i="1"/>
  <c r="D68" i="1"/>
  <c r="E57" i="1"/>
  <c r="G68" i="1"/>
  <c r="F57" i="1"/>
  <c r="H63" i="1"/>
  <c r="D63" i="1"/>
  <c r="K63" i="1"/>
  <c r="L63" i="1"/>
  <c r="L57" i="1"/>
  <c r="D57" i="1"/>
  <c r="J63" i="1"/>
  <c r="I68" i="1"/>
  <c r="C57" i="1"/>
  <c r="K57" i="1"/>
  <c r="I63" i="1"/>
  <c r="H68" i="1"/>
  <c r="J57" i="1"/>
  <c r="J68" i="1"/>
  <c r="I57" i="1"/>
  <c r="C63" i="1"/>
  <c r="G63" i="1"/>
  <c r="F68" i="1"/>
  <c r="H57" i="1"/>
  <c r="F63" i="1"/>
  <c r="C68" i="1"/>
  <c r="E68" i="1"/>
  <c r="G57" i="1"/>
  <c r="E63" i="1"/>
  <c r="D35" i="1"/>
  <c r="E35" i="1"/>
  <c r="F35" i="1"/>
  <c r="G35" i="1"/>
  <c r="H35" i="1"/>
  <c r="I35" i="1"/>
  <c r="J35" i="1"/>
  <c r="K35" i="1"/>
  <c r="L35" i="1"/>
  <c r="C35" i="1"/>
  <c r="M29" i="1"/>
  <c r="D29" i="1"/>
  <c r="E29" i="1"/>
  <c r="F29" i="1"/>
  <c r="G29" i="1"/>
  <c r="H29" i="1"/>
  <c r="I29" i="1"/>
  <c r="J29" i="1"/>
  <c r="K29" i="1"/>
  <c r="L29" i="1"/>
  <c r="C29" i="1"/>
  <c r="M20" i="1"/>
  <c r="D20" i="1"/>
  <c r="E20" i="1"/>
  <c r="F20" i="1"/>
  <c r="G20" i="1"/>
  <c r="H20" i="1"/>
  <c r="I20" i="1"/>
  <c r="J20" i="1"/>
  <c r="K20" i="1"/>
  <c r="L20" i="1"/>
  <c r="C20" i="1"/>
  <c r="C14" i="1"/>
  <c r="D14" i="1"/>
  <c r="E14" i="1"/>
  <c r="F14" i="1"/>
  <c r="G14" i="1"/>
  <c r="H14" i="1"/>
  <c r="I14" i="1"/>
  <c r="J14" i="1"/>
  <c r="K14" i="1"/>
  <c r="L14" i="1"/>
  <c r="M8" i="1"/>
  <c r="D8" i="1"/>
  <c r="D29" i="3" s="1"/>
  <c r="D36" i="3" s="1"/>
  <c r="E8" i="1"/>
  <c r="E29" i="3" s="1"/>
  <c r="E36" i="3" s="1"/>
  <c r="F8" i="1"/>
  <c r="F29" i="3" s="1"/>
  <c r="F36" i="3" s="1"/>
  <c r="G8" i="1"/>
  <c r="G29" i="3" s="1"/>
  <c r="G36" i="3" s="1"/>
  <c r="H8" i="1"/>
  <c r="H29" i="3" s="1"/>
  <c r="H36" i="3" s="1"/>
  <c r="I8" i="1"/>
  <c r="I29" i="3" s="1"/>
  <c r="I36" i="3" s="1"/>
  <c r="J8" i="1"/>
  <c r="J29" i="3" s="1"/>
  <c r="J36" i="3" s="1"/>
  <c r="K8" i="1"/>
  <c r="K29" i="3" s="1"/>
  <c r="K36" i="3" s="1"/>
  <c r="L8" i="1"/>
  <c r="L29" i="3" s="1"/>
  <c r="L36" i="3" s="1"/>
  <c r="U10" i="13" s="1"/>
  <c r="C8" i="1"/>
  <c r="C29" i="3" s="1"/>
  <c r="M5" i="1"/>
  <c r="M27" i="1" s="1"/>
  <c r="D5" i="1"/>
  <c r="D6" i="11" s="1"/>
  <c r="E5" i="1"/>
  <c r="F5" i="1"/>
  <c r="F6" i="11" s="1"/>
  <c r="G5" i="1"/>
  <c r="H5" i="1"/>
  <c r="I5" i="1"/>
  <c r="I6" i="11" s="1"/>
  <c r="J5" i="1"/>
  <c r="J6" i="11" s="1"/>
  <c r="K5" i="1"/>
  <c r="L5" i="1"/>
  <c r="L6" i="11" s="1"/>
  <c r="D3" i="1"/>
  <c r="E3" i="1"/>
  <c r="F3" i="1"/>
  <c r="G3" i="1"/>
  <c r="H3" i="1"/>
  <c r="I3" i="1"/>
  <c r="J3" i="1"/>
  <c r="K3" i="1"/>
  <c r="L3" i="1"/>
  <c r="C3" i="1"/>
  <c r="B2" i="1"/>
  <c r="C5" i="1"/>
  <c r="E1" i="7"/>
  <c r="B6" i="7"/>
  <c r="L70" i="1" l="1"/>
  <c r="L40" i="3" s="1"/>
  <c r="H39" i="3"/>
  <c r="H6" i="11"/>
  <c r="I7" i="11" s="1"/>
  <c r="F27" i="11"/>
  <c r="F5" i="11"/>
  <c r="C27" i="11"/>
  <c r="C5" i="11"/>
  <c r="L5" i="11"/>
  <c r="L27" i="11"/>
  <c r="M27" i="11" s="1"/>
  <c r="N27" i="11" s="1"/>
  <c r="O27" i="11" s="1"/>
  <c r="P27" i="11" s="1"/>
  <c r="Q27" i="11" s="1"/>
  <c r="R27" i="11" s="1"/>
  <c r="E5" i="11"/>
  <c r="E27" i="11"/>
  <c r="N41" i="3"/>
  <c r="O41" i="3"/>
  <c r="D27" i="11"/>
  <c r="D5" i="11"/>
  <c r="E39" i="3"/>
  <c r="E6" i="11"/>
  <c r="E7" i="11" s="1"/>
  <c r="K5" i="11"/>
  <c r="K27" i="11"/>
  <c r="G5" i="11"/>
  <c r="G27" i="11"/>
  <c r="I27" i="11"/>
  <c r="I5" i="11"/>
  <c r="J7" i="11"/>
  <c r="C36" i="3"/>
  <c r="O29" i="3"/>
  <c r="N29" i="3"/>
  <c r="J39" i="3"/>
  <c r="C39" i="3"/>
  <c r="C6" i="11"/>
  <c r="G39" i="3"/>
  <c r="G6" i="11"/>
  <c r="G7" i="11" s="1"/>
  <c r="J5" i="11"/>
  <c r="J27" i="11"/>
  <c r="K39" i="3"/>
  <c r="K6" i="11"/>
  <c r="K7" i="11" s="1"/>
  <c r="H27" i="11"/>
  <c r="H5" i="11"/>
  <c r="O9" i="3"/>
  <c r="N9" i="3"/>
  <c r="L27" i="1"/>
  <c r="L30" i="3"/>
  <c r="L27" i="3"/>
  <c r="L34" i="3" s="1"/>
  <c r="L31" i="3"/>
  <c r="D27" i="1"/>
  <c r="D31" i="3"/>
  <c r="D27" i="3"/>
  <c r="D34" i="3" s="1"/>
  <c r="D30" i="3"/>
  <c r="D39" i="3"/>
  <c r="J27" i="1"/>
  <c r="J27" i="3"/>
  <c r="J34" i="3" s="1"/>
  <c r="J30" i="3"/>
  <c r="J31" i="3"/>
  <c r="I27" i="1"/>
  <c r="I27" i="3"/>
  <c r="I34" i="3" s="1"/>
  <c r="I31" i="3"/>
  <c r="I30" i="3"/>
  <c r="L39" i="3"/>
  <c r="E27" i="1"/>
  <c r="E31" i="3"/>
  <c r="E27" i="3"/>
  <c r="E34" i="3" s="1"/>
  <c r="E30" i="3"/>
  <c r="K27" i="1"/>
  <c r="K30" i="3"/>
  <c r="K31" i="3"/>
  <c r="K27" i="3"/>
  <c r="K34" i="3" s="1"/>
  <c r="C27" i="1"/>
  <c r="C31" i="3"/>
  <c r="C30" i="3"/>
  <c r="C27" i="3"/>
  <c r="H27" i="1"/>
  <c r="H30" i="3"/>
  <c r="H27" i="3"/>
  <c r="H34" i="3" s="1"/>
  <c r="H31" i="3"/>
  <c r="I39" i="3"/>
  <c r="G27" i="1"/>
  <c r="G30" i="3"/>
  <c r="G31" i="3"/>
  <c r="G27" i="3"/>
  <c r="G34" i="3" s="1"/>
  <c r="F27" i="1"/>
  <c r="F30" i="3"/>
  <c r="F31" i="3"/>
  <c r="F27" i="3"/>
  <c r="F34" i="3" s="1"/>
  <c r="F39" i="3"/>
  <c r="K70" i="1"/>
  <c r="K40" i="3" s="1"/>
  <c r="I70" i="1"/>
  <c r="D70" i="1"/>
  <c r="F70" i="1"/>
  <c r="L72" i="1"/>
  <c r="G70" i="1"/>
  <c r="H70" i="1"/>
  <c r="E70" i="1"/>
  <c r="C70" i="1"/>
  <c r="J70" i="1"/>
  <c r="J15" i="1"/>
  <c r="J17" i="3" s="1"/>
  <c r="F30" i="1"/>
  <c r="F15" i="1"/>
  <c r="F17" i="3" s="1"/>
  <c r="M21" i="1"/>
  <c r="L21" i="1"/>
  <c r="L18" i="3" s="1"/>
  <c r="D21" i="1"/>
  <c r="D18" i="3" s="1"/>
  <c r="G30" i="1"/>
  <c r="C30" i="1"/>
  <c r="F21" i="1"/>
  <c r="F18" i="3" s="1"/>
  <c r="C21" i="1"/>
  <c r="C18" i="3" s="1"/>
  <c r="E15" i="1"/>
  <c r="E17" i="3" s="1"/>
  <c r="J21" i="1"/>
  <c r="J18" i="3" s="1"/>
  <c r="H30" i="1"/>
  <c r="I21" i="1"/>
  <c r="I18" i="3" s="1"/>
  <c r="H21" i="1"/>
  <c r="H18" i="3" s="1"/>
  <c r="K15" i="1"/>
  <c r="K17" i="3" s="1"/>
  <c r="C15" i="1"/>
  <c r="C17" i="3" s="1"/>
  <c r="G21" i="1"/>
  <c r="G18" i="3" s="1"/>
  <c r="L30" i="1"/>
  <c r="D30" i="1"/>
  <c r="E30" i="1"/>
  <c r="M23" i="1"/>
  <c r="K30" i="1"/>
  <c r="L15" i="1"/>
  <c r="L17" i="3" s="1"/>
  <c r="D15" i="1"/>
  <c r="D17" i="3" s="1"/>
  <c r="I15" i="1"/>
  <c r="I17" i="3" s="1"/>
  <c r="J30" i="1"/>
  <c r="M30" i="1"/>
  <c r="I30" i="1"/>
  <c r="G15" i="1"/>
  <c r="G17" i="3" s="1"/>
  <c r="K21" i="1"/>
  <c r="K18" i="3" s="1"/>
  <c r="E21" i="1"/>
  <c r="E18" i="3" s="1"/>
  <c r="H15" i="1"/>
  <c r="H17" i="3" s="1"/>
  <c r="M18" i="1"/>
  <c r="M11" i="1"/>
  <c r="M12" i="1" s="1"/>
  <c r="F13" i="11" l="1" a="1"/>
  <c r="F13" i="11" s="1"/>
  <c r="M21" i="11" s="1"/>
  <c r="N21" i="11" s="1"/>
  <c r="O21" i="11" s="1"/>
  <c r="P21" i="11" s="1"/>
  <c r="Q21" i="11" s="1"/>
  <c r="R21" i="11" s="1"/>
  <c r="F12" i="11"/>
  <c r="M20" i="11" s="1"/>
  <c r="N20" i="11" s="1"/>
  <c r="O20" i="11" s="1"/>
  <c r="P20" i="11" s="1"/>
  <c r="Q20" i="11" s="1"/>
  <c r="R20" i="11" s="1"/>
  <c r="D7" i="11"/>
  <c r="L7" i="11"/>
  <c r="C34" i="3"/>
  <c r="N27" i="3"/>
  <c r="O27" i="3"/>
  <c r="O30" i="3"/>
  <c r="N30" i="3"/>
  <c r="O36" i="3"/>
  <c r="N36" i="3"/>
  <c r="V10" i="13" s="1"/>
  <c r="W10" i="13" s="1"/>
  <c r="O31" i="3"/>
  <c r="N31" i="3"/>
  <c r="N39" i="3"/>
  <c r="O39" i="3"/>
  <c r="F7" i="11"/>
  <c r="H7" i="11"/>
  <c r="O18" i="3"/>
  <c r="N18" i="3"/>
  <c r="O17" i="3"/>
  <c r="N17" i="3"/>
  <c r="D72" i="1"/>
  <c r="D40" i="3"/>
  <c r="I72" i="1"/>
  <c r="I40" i="3"/>
  <c r="C72" i="1"/>
  <c r="C40" i="3"/>
  <c r="E72" i="1"/>
  <c r="E40" i="3"/>
  <c r="H72" i="1"/>
  <c r="H40" i="3"/>
  <c r="J72" i="1"/>
  <c r="J40" i="3"/>
  <c r="G72" i="1"/>
  <c r="G40" i="3"/>
  <c r="F72" i="1"/>
  <c r="F40" i="3"/>
  <c r="K72" i="1"/>
  <c r="M24" i="1"/>
  <c r="M32" i="1"/>
  <c r="M36" i="1" s="1"/>
  <c r="M9" i="1"/>
  <c r="F11" i="11" l="1"/>
  <c r="M19" i="11" s="1"/>
  <c r="G3" i="12" s="1"/>
  <c r="O34" i="3"/>
  <c r="N34" i="3"/>
  <c r="O40" i="3"/>
  <c r="N40" i="3"/>
  <c r="M33" i="1"/>
  <c r="I6" i="1"/>
  <c r="I5" i="3" s="1"/>
  <c r="I9" i="1"/>
  <c r="I11" i="1"/>
  <c r="E11" i="1"/>
  <c r="E9" i="1"/>
  <c r="H6" i="1"/>
  <c r="H5" i="3" s="1"/>
  <c r="H9" i="1"/>
  <c r="H11" i="1"/>
  <c r="G11" i="1"/>
  <c r="G6" i="1"/>
  <c r="G5" i="3" s="1"/>
  <c r="G9" i="1"/>
  <c r="E6" i="1"/>
  <c r="E5" i="3" s="1"/>
  <c r="C11" i="1"/>
  <c r="C9" i="1"/>
  <c r="F6" i="1"/>
  <c r="F5" i="3" s="1"/>
  <c r="F9" i="1"/>
  <c r="F11" i="1"/>
  <c r="M40" i="1" l="1"/>
  <c r="M37" i="1"/>
  <c r="N19" i="11"/>
  <c r="O19" i="11" s="1"/>
  <c r="P19" i="11" s="1"/>
  <c r="Q19" i="11" s="1"/>
  <c r="R19" i="11" s="1"/>
  <c r="M6" i="11" a="1"/>
  <c r="M44" i="1"/>
  <c r="G12" i="1"/>
  <c r="G11" i="3" s="1"/>
  <c r="G17" i="1"/>
  <c r="G28" i="11" s="1"/>
  <c r="H12" i="1"/>
  <c r="H11" i="3" s="1"/>
  <c r="H17" i="1"/>
  <c r="F12" i="1"/>
  <c r="F11" i="3" s="1"/>
  <c r="F17" i="1"/>
  <c r="C12" i="1"/>
  <c r="C11" i="3" s="1"/>
  <c r="C17" i="1"/>
  <c r="C28" i="11" s="1"/>
  <c r="E12" i="1"/>
  <c r="E11" i="3" s="1"/>
  <c r="E17" i="1"/>
  <c r="E28" i="11" s="1"/>
  <c r="I12" i="1"/>
  <c r="I11" i="3" s="1"/>
  <c r="I17" i="1"/>
  <c r="I28" i="11" s="1"/>
  <c r="J11" i="1"/>
  <c r="J9" i="1"/>
  <c r="J6" i="1"/>
  <c r="J5" i="3" s="1"/>
  <c r="K6" i="1"/>
  <c r="K5" i="3" s="1"/>
  <c r="K9" i="1"/>
  <c r="K11" i="1"/>
  <c r="D6" i="1"/>
  <c r="D11" i="1"/>
  <c r="D9" i="1"/>
  <c r="M6" i="1"/>
  <c r="L6" i="1"/>
  <c r="L5" i="3" s="1"/>
  <c r="U3" i="13" s="1"/>
  <c r="L9" i="1"/>
  <c r="L11" i="1"/>
  <c r="D5" i="3" l="1"/>
  <c r="O5" i="3" s="1"/>
  <c r="F12" i="13"/>
  <c r="E29" i="11"/>
  <c r="G29" i="11"/>
  <c r="C29" i="11"/>
  <c r="F6" i="3"/>
  <c r="F28" i="11"/>
  <c r="G30" i="11" s="1"/>
  <c r="R7" i="11"/>
  <c r="O7" i="11"/>
  <c r="M6" i="11"/>
  <c r="M7" i="11" s="1"/>
  <c r="Q7" i="11"/>
  <c r="P7" i="11"/>
  <c r="I29" i="11"/>
  <c r="H6" i="3"/>
  <c r="H28" i="11"/>
  <c r="G6" i="3"/>
  <c r="I6" i="3"/>
  <c r="C23" i="1"/>
  <c r="C18" i="1"/>
  <c r="I23" i="1"/>
  <c r="I18" i="1"/>
  <c r="I12" i="3" s="1"/>
  <c r="F18" i="1"/>
  <c r="F12" i="3" s="1"/>
  <c r="F23" i="1"/>
  <c r="J12" i="1"/>
  <c r="J11" i="3" s="1"/>
  <c r="J17" i="1"/>
  <c r="D12" i="1"/>
  <c r="D11" i="3" s="1"/>
  <c r="D17" i="1"/>
  <c r="H18" i="1"/>
  <c r="H12" i="3" s="1"/>
  <c r="H23" i="1"/>
  <c r="K12" i="1"/>
  <c r="K11" i="3" s="1"/>
  <c r="K17" i="1"/>
  <c r="K28" i="11" s="1"/>
  <c r="E23" i="1"/>
  <c r="E18" i="1"/>
  <c r="E12" i="3" s="1"/>
  <c r="G18" i="1"/>
  <c r="G12" i="3" s="1"/>
  <c r="G23" i="1"/>
  <c r="L12" i="1"/>
  <c r="L11" i="3" s="1"/>
  <c r="L17" i="1"/>
  <c r="N5" i="3" l="1"/>
  <c r="V3" i="13" s="1"/>
  <c r="W3" i="13" s="1"/>
  <c r="C12" i="3"/>
  <c r="N18" i="13"/>
  <c r="G6" i="12"/>
  <c r="N7" i="11"/>
  <c r="H30" i="11"/>
  <c r="H29" i="11"/>
  <c r="K29" i="11"/>
  <c r="L6" i="3"/>
  <c r="L28" i="11"/>
  <c r="F35" i="11" s="1"/>
  <c r="O11" i="3"/>
  <c r="I30" i="11"/>
  <c r="F30" i="11"/>
  <c r="F29" i="11"/>
  <c r="D6" i="3"/>
  <c r="D28" i="11"/>
  <c r="J6" i="3"/>
  <c r="J28" i="11"/>
  <c r="K30" i="11" s="1"/>
  <c r="N11" i="3"/>
  <c r="E6" i="3"/>
  <c r="C32" i="1"/>
  <c r="C37" i="1" s="1"/>
  <c r="C25" i="3"/>
  <c r="C21" i="3"/>
  <c r="E32" i="1"/>
  <c r="E37" i="1" s="1"/>
  <c r="E25" i="3"/>
  <c r="E21" i="3"/>
  <c r="H32" i="1"/>
  <c r="H37" i="1" s="1"/>
  <c r="H25" i="3"/>
  <c r="H7" i="3"/>
  <c r="H21" i="3"/>
  <c r="I32" i="1"/>
  <c r="I37" i="1" s="1"/>
  <c r="I7" i="3"/>
  <c r="I25" i="3"/>
  <c r="I21" i="3"/>
  <c r="G32" i="1"/>
  <c r="G37" i="1" s="1"/>
  <c r="G25" i="3"/>
  <c r="G21" i="3"/>
  <c r="G7" i="3"/>
  <c r="K6" i="3"/>
  <c r="F32" i="1"/>
  <c r="F37" i="1" s="1"/>
  <c r="F21" i="3"/>
  <c r="F25" i="3"/>
  <c r="F7" i="3"/>
  <c r="D23" i="1"/>
  <c r="E7" i="3" s="1"/>
  <c r="D18" i="1"/>
  <c r="D12" i="3" s="1"/>
  <c r="E24" i="1"/>
  <c r="E13" i="3" s="1"/>
  <c r="E19" i="3" s="1"/>
  <c r="G24" i="1"/>
  <c r="G13" i="3" s="1"/>
  <c r="G19" i="3" s="1"/>
  <c r="K23" i="1"/>
  <c r="K18" i="1"/>
  <c r="K12" i="3" s="1"/>
  <c r="C24" i="1"/>
  <c r="C13" i="3" s="1"/>
  <c r="J23" i="1"/>
  <c r="J18" i="1"/>
  <c r="J12" i="3" s="1"/>
  <c r="F24" i="1"/>
  <c r="F13" i="3" s="1"/>
  <c r="F19" i="3" s="1"/>
  <c r="L23" i="1"/>
  <c r="L18" i="1"/>
  <c r="L12" i="3" s="1"/>
  <c r="U4" i="13" s="1"/>
  <c r="H24" i="1"/>
  <c r="H13" i="3" s="1"/>
  <c r="H19" i="3" s="1"/>
  <c r="I24" i="1"/>
  <c r="I13" i="3" s="1"/>
  <c r="I19" i="3" s="1"/>
  <c r="O6" i="3" l="1"/>
  <c r="F36" i="11" a="1"/>
  <c r="F36" i="11" s="1"/>
  <c r="M44" i="11" s="1"/>
  <c r="N44" i="11" s="1"/>
  <c r="O44" i="11" s="1"/>
  <c r="P44" i="11" s="1"/>
  <c r="Q44" i="11" s="1"/>
  <c r="R44" i="11" s="1"/>
  <c r="N6" i="3"/>
  <c r="M13" i="13"/>
  <c r="D30" i="11"/>
  <c r="D29" i="11"/>
  <c r="E30" i="11"/>
  <c r="O12" i="3"/>
  <c r="J30" i="11"/>
  <c r="J29" i="11"/>
  <c r="L30" i="11"/>
  <c r="L29" i="11"/>
  <c r="M43" i="11"/>
  <c r="N43" i="11" s="1"/>
  <c r="O43" i="11" s="1"/>
  <c r="P43" i="11" s="1"/>
  <c r="Q43" i="11" s="1"/>
  <c r="R43" i="11" s="1"/>
  <c r="C19" i="3"/>
  <c r="N12" i="3"/>
  <c r="V4" i="13" s="1"/>
  <c r="W4" i="13" s="1"/>
  <c r="L32" i="1"/>
  <c r="L37" i="1" s="1"/>
  <c r="L7" i="3"/>
  <c r="L25" i="3"/>
  <c r="U9" i="13" s="1"/>
  <c r="L21" i="3"/>
  <c r="U6" i="13" s="1"/>
  <c r="D32" i="1"/>
  <c r="D37" i="1" s="1"/>
  <c r="D7" i="3"/>
  <c r="D21" i="3"/>
  <c r="D25" i="3"/>
  <c r="K32" i="1"/>
  <c r="K37" i="1" s="1"/>
  <c r="K7" i="3"/>
  <c r="K25" i="3"/>
  <c r="K21" i="3"/>
  <c r="J32" i="1"/>
  <c r="J37" i="1" s="1"/>
  <c r="J21" i="3"/>
  <c r="J7" i="3"/>
  <c r="J25" i="3"/>
  <c r="F33" i="1"/>
  <c r="F14" i="3" s="1"/>
  <c r="F36" i="1"/>
  <c r="J24" i="1"/>
  <c r="J13" i="3" s="1"/>
  <c r="J19" i="3" s="1"/>
  <c r="E33" i="1"/>
  <c r="E14" i="3" s="1"/>
  <c r="E36" i="1"/>
  <c r="H33" i="1"/>
  <c r="H14" i="3" s="1"/>
  <c r="H36" i="1"/>
  <c r="C33" i="1"/>
  <c r="C14" i="3" s="1"/>
  <c r="C23" i="3"/>
  <c r="C36" i="1"/>
  <c r="D24" i="1"/>
  <c r="D13" i="3" s="1"/>
  <c r="D19" i="3" s="1"/>
  <c r="L24" i="1"/>
  <c r="L13" i="3" s="1"/>
  <c r="L19" i="3" s="1"/>
  <c r="K24" i="1"/>
  <c r="K13" i="3" s="1"/>
  <c r="K19" i="3" s="1"/>
  <c r="G33" i="1"/>
  <c r="G14" i="3" s="1"/>
  <c r="G36" i="1"/>
  <c r="I33" i="1"/>
  <c r="I14" i="3" s="1"/>
  <c r="I36" i="1"/>
  <c r="O21" i="3" l="1"/>
  <c r="O25" i="3"/>
  <c r="N21" i="3"/>
  <c r="V6" i="13" s="1"/>
  <c r="W6" i="13" s="1"/>
  <c r="F34" i="11"/>
  <c r="M42" i="11" s="1"/>
  <c r="G4" i="12" s="1"/>
  <c r="N25" i="3"/>
  <c r="V9" i="13" s="1"/>
  <c r="W9" i="13" s="1"/>
  <c r="O7" i="3"/>
  <c r="N7" i="3"/>
  <c r="N13" i="3"/>
  <c r="O13" i="3"/>
  <c r="O19" i="3"/>
  <c r="N19" i="3"/>
  <c r="G23" i="3"/>
  <c r="G8" i="3"/>
  <c r="F23" i="3"/>
  <c r="F8" i="3"/>
  <c r="E8" i="3"/>
  <c r="E23" i="3"/>
  <c r="I23" i="3"/>
  <c r="I8" i="3"/>
  <c r="H8" i="3"/>
  <c r="H23" i="3"/>
  <c r="L33" i="1"/>
  <c r="L14" i="3" s="1"/>
  <c r="L36" i="1"/>
  <c r="I40" i="1"/>
  <c r="I15" i="3" s="1"/>
  <c r="I44" i="1"/>
  <c r="E44" i="1"/>
  <c r="E40" i="1"/>
  <c r="E15" i="3" s="1"/>
  <c r="C44" i="1"/>
  <c r="C40" i="1"/>
  <c r="C15" i="3" s="1"/>
  <c r="D33" i="1"/>
  <c r="D14" i="3" s="1"/>
  <c r="D36" i="1"/>
  <c r="G40" i="1"/>
  <c r="G15" i="3" s="1"/>
  <c r="G44" i="1"/>
  <c r="J33" i="1"/>
  <c r="J14" i="3" s="1"/>
  <c r="J36" i="1"/>
  <c r="K33" i="1"/>
  <c r="K14" i="3" s="1"/>
  <c r="K36" i="1"/>
  <c r="H40" i="1"/>
  <c r="H15" i="3" s="1"/>
  <c r="H44" i="1"/>
  <c r="F44" i="1"/>
  <c r="F40" i="1"/>
  <c r="F15" i="3" s="1"/>
  <c r="N14" i="3" l="1"/>
  <c r="O14" i="3"/>
  <c r="N42" i="11"/>
  <c r="O42" i="11" s="1"/>
  <c r="P42" i="11" s="1"/>
  <c r="Q42" i="11" s="1"/>
  <c r="R42" i="11" s="1"/>
  <c r="K23" i="3"/>
  <c r="K8" i="3"/>
  <c r="L8" i="3"/>
  <c r="L23" i="3"/>
  <c r="U7" i="13" s="1"/>
  <c r="D8" i="3"/>
  <c r="D23" i="3"/>
  <c r="J23" i="3"/>
  <c r="J8" i="3"/>
  <c r="H45" i="1"/>
  <c r="H48" i="1"/>
  <c r="H50" i="1" s="1"/>
  <c r="H22" i="3" s="1"/>
  <c r="H24" i="3" s="1"/>
  <c r="C48" i="1"/>
  <c r="C50" i="1" s="1"/>
  <c r="C22" i="3" s="1"/>
  <c r="F45" i="1"/>
  <c r="F48" i="1"/>
  <c r="F50" i="1" s="1"/>
  <c r="F22" i="3" s="1"/>
  <c r="F24" i="3" s="1"/>
  <c r="G45" i="1"/>
  <c r="G48" i="1"/>
  <c r="G50" i="1" s="1"/>
  <c r="G22" i="3" s="1"/>
  <c r="G24" i="3" s="1"/>
  <c r="E48" i="1"/>
  <c r="E50" i="1" s="1"/>
  <c r="E22" i="3" s="1"/>
  <c r="E24" i="3" s="1"/>
  <c r="I45" i="1"/>
  <c r="I48" i="1"/>
  <c r="I50" i="1" s="1"/>
  <c r="I22" i="3" s="1"/>
  <c r="I24" i="3" s="1"/>
  <c r="K40" i="1"/>
  <c r="K15" i="3" s="1"/>
  <c r="K44" i="1"/>
  <c r="D44" i="1"/>
  <c r="E45" i="1" s="1"/>
  <c r="D40" i="1"/>
  <c r="D15" i="3" s="1"/>
  <c r="L44" i="1"/>
  <c r="M45" i="1" s="1"/>
  <c r="L40" i="1"/>
  <c r="L15" i="3" s="1"/>
  <c r="U5" i="13" s="1"/>
  <c r="J40" i="1"/>
  <c r="J15" i="3" s="1"/>
  <c r="J44" i="1"/>
  <c r="M28" i="11" l="1" a="1"/>
  <c r="P29" i="11" s="1"/>
  <c r="O15" i="3"/>
  <c r="N23" i="3"/>
  <c r="V7" i="13" s="1"/>
  <c r="W7" i="13" s="1"/>
  <c r="O23" i="3"/>
  <c r="C24" i="3"/>
  <c r="N15" i="3"/>
  <c r="V5" i="13" s="1"/>
  <c r="W5" i="13" s="1"/>
  <c r="O8" i="3"/>
  <c r="N8" i="3"/>
  <c r="K45" i="1"/>
  <c r="K48" i="1"/>
  <c r="K50" i="1" s="1"/>
  <c r="K22" i="3" s="1"/>
  <c r="K24" i="3" s="1"/>
  <c r="D45" i="1"/>
  <c r="D48" i="1"/>
  <c r="D50" i="1" s="1"/>
  <c r="D22" i="3" s="1"/>
  <c r="D24" i="3" s="1"/>
  <c r="J45" i="1"/>
  <c r="J48" i="1"/>
  <c r="J50" i="1" s="1"/>
  <c r="J22" i="3" s="1"/>
  <c r="J24" i="3" s="1"/>
  <c r="L45" i="1"/>
  <c r="L48" i="1"/>
  <c r="L50" i="1" s="1"/>
  <c r="L22" i="3" s="1"/>
  <c r="L24" i="3" s="1"/>
  <c r="U8" i="13" s="1"/>
  <c r="M28" i="11" l="1"/>
  <c r="N30" i="11" s="1"/>
  <c r="Q30" i="11"/>
  <c r="R29" i="11"/>
  <c r="O29" i="11"/>
  <c r="N29" i="11"/>
  <c r="P30" i="11"/>
  <c r="Q29" i="11"/>
  <c r="O30" i="11"/>
  <c r="R30" i="11"/>
  <c r="O24" i="3"/>
  <c r="O22" i="3"/>
  <c r="N22" i="3"/>
  <c r="N24" i="3"/>
  <c r="V8" i="13" s="1"/>
  <c r="W8" i="13" s="1"/>
  <c r="M29" i="11" l="1"/>
  <c r="M30" i="11"/>
  <c r="Q19" i="13"/>
  <c r="N19" i="13" s="1"/>
  <c r="L22" i="13" s="1"/>
  <c r="G7" i="12"/>
  <c r="B12"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<sst xmlns="http://schemas.openxmlformats.org/spreadsheetml/2006/main" count="297" uniqueCount="221">
  <si>
    <t>Sales</t>
  </si>
  <si>
    <t>Expenses</t>
  </si>
  <si>
    <t>Operating Profit</t>
  </si>
  <si>
    <t>Other Income</t>
  </si>
  <si>
    <t>Depreciation</t>
  </si>
  <si>
    <t>Interest</t>
  </si>
  <si>
    <t>Profit before tax</t>
  </si>
  <si>
    <t>Tax</t>
  </si>
  <si>
    <t>Net profit</t>
  </si>
  <si>
    <t>Sales Growth</t>
  </si>
  <si>
    <t>Equity Share Capital</t>
  </si>
  <si>
    <t>Reserves</t>
  </si>
  <si>
    <t>Borrowings</t>
  </si>
  <si>
    <t>Other Liabilities</t>
  </si>
  <si>
    <t>Total</t>
  </si>
  <si>
    <t>Net Block</t>
  </si>
  <si>
    <t>Capital Work in Progress</t>
  </si>
  <si>
    <t>Investments</t>
  </si>
  <si>
    <t>Other Assets</t>
  </si>
  <si>
    <t>Inventory</t>
  </si>
  <si>
    <t xml:space="preserve">Years </t>
  </si>
  <si>
    <t>LTM</t>
  </si>
  <si>
    <t>Income Statement</t>
  </si>
  <si>
    <t>#</t>
  </si>
  <si>
    <t>COGS</t>
  </si>
  <si>
    <t>Gross Margin</t>
  </si>
  <si>
    <t>COGS % Sales</t>
  </si>
  <si>
    <t>Gross Profit</t>
  </si>
  <si>
    <t>Selling &amp; General Expenses</t>
  </si>
  <si>
    <t>Adjusted Equity Shares in Cr</t>
  </si>
  <si>
    <t>DERIVED:</t>
  </si>
  <si>
    <t>PRICE:</t>
  </si>
  <si>
    <t>Net Cash Flow</t>
  </si>
  <si>
    <t>Cash from Financing Activity</t>
  </si>
  <si>
    <t>Cash from Investing Activity</t>
  </si>
  <si>
    <t>Cash from Operating Activity</t>
  </si>
  <si>
    <t>Report Date</t>
  </si>
  <si>
    <t>CASH FLOW:</t>
  </si>
  <si>
    <t>Face value</t>
  </si>
  <si>
    <t>New Bonus Shares</t>
  </si>
  <si>
    <t>No. of Equity Shares</t>
  </si>
  <si>
    <t>Cash &amp; Bank</t>
  </si>
  <si>
    <t>Receivables</t>
  </si>
  <si>
    <t>BALANCE SHEET</t>
  </si>
  <si>
    <t>Quarters</t>
  </si>
  <si>
    <t>Dividend Amount</t>
  </si>
  <si>
    <t>Other Expenses</t>
  </si>
  <si>
    <t>Selling and admin</t>
  </si>
  <si>
    <t>Employee Cost</t>
  </si>
  <si>
    <t>Other Mfr. Exp</t>
  </si>
  <si>
    <t>Power and Fuel</t>
  </si>
  <si>
    <t>Change in Inventory</t>
  </si>
  <si>
    <t>Raw Material Cost</t>
  </si>
  <si>
    <t>PROFIT &amp; LOSS</t>
  </si>
  <si>
    <t>Market Capitalization</t>
  </si>
  <si>
    <t>Current Price</t>
  </si>
  <si>
    <t>Face Value</t>
  </si>
  <si>
    <t>Number of shares</t>
  </si>
  <si>
    <t>META</t>
  </si>
  <si>
    <t>CURRENT VERSION</t>
  </si>
  <si>
    <t>PLEASE DO NOT MAKE ANY CHANGES TO THIS SHEET</t>
  </si>
  <si>
    <t>LATEST VERSION</t>
  </si>
  <si>
    <t>COMPANY NAME</t>
  </si>
  <si>
    <t>ASIAN PAINTS LTD</t>
  </si>
  <si>
    <t>S&amp;G Exp %Sales</t>
  </si>
  <si>
    <t>EBITDA</t>
  </si>
  <si>
    <t>EBIT</t>
  </si>
  <si>
    <t>EBIT %Sales</t>
  </si>
  <si>
    <t xml:space="preserve"> </t>
  </si>
  <si>
    <t>Net Profit</t>
  </si>
  <si>
    <t>PBT</t>
  </si>
  <si>
    <t>Effective Tax Rate%</t>
  </si>
  <si>
    <t>Net Margins%</t>
  </si>
  <si>
    <t>EBITDA Margins</t>
  </si>
  <si>
    <t>Earnings Per Share</t>
  </si>
  <si>
    <t>Dividend Per Share</t>
  </si>
  <si>
    <t>EPS Growth %</t>
  </si>
  <si>
    <t>Dividend Payout Ratio</t>
  </si>
  <si>
    <t>Retained Earnings</t>
  </si>
  <si>
    <t>Balance Sheet</t>
  </si>
  <si>
    <t>Total Liabilities</t>
  </si>
  <si>
    <t>Total Non Current Assets</t>
  </si>
  <si>
    <t>Total Assets</t>
  </si>
  <si>
    <t>Total Current Assets</t>
  </si>
  <si>
    <t>Check</t>
  </si>
  <si>
    <t>Cash Flow Statement</t>
  </si>
  <si>
    <t>Cash From Operating Activity</t>
  </si>
  <si>
    <t>Profit from operations</t>
  </si>
  <si>
    <t>Payables</t>
  </si>
  <si>
    <t>Other WC items</t>
  </si>
  <si>
    <t>Working capital changes</t>
  </si>
  <si>
    <t>Direct taxes</t>
  </si>
  <si>
    <t>Fixed assets purchased</t>
  </si>
  <si>
    <t>Fixed assets sold</t>
  </si>
  <si>
    <t>Investments purchased</t>
  </si>
  <si>
    <t>Investments sold</t>
  </si>
  <si>
    <t>Interest received</t>
  </si>
  <si>
    <t>Investment in group cos</t>
  </si>
  <si>
    <t>Acquisition of companies</t>
  </si>
  <si>
    <t>Other investing items</t>
  </si>
  <si>
    <t>Proceeds from borrowings</t>
  </si>
  <si>
    <t>Repayment of borrowings</t>
  </si>
  <si>
    <t>Interest paid fin</t>
  </si>
  <si>
    <t>Dividends paid</t>
  </si>
  <si>
    <t>Financial liabilities</t>
  </si>
  <si>
    <t>Other financing items</t>
  </si>
  <si>
    <t>Free Cash Flow</t>
  </si>
  <si>
    <t>CFO/OP</t>
  </si>
  <si>
    <t>Operating Activity</t>
  </si>
  <si>
    <t>Investing Activity </t>
  </si>
  <si>
    <r>
      <t>Cash from Investing Activity </t>
    </r>
    <r>
      <rPr>
        <b/>
        <sz val="11"/>
        <color rgb="FF665EFD"/>
        <rFont val="Arial"/>
        <family val="2"/>
      </rPr>
      <t>-</t>
    </r>
  </si>
  <si>
    <t>Financing Activity</t>
  </si>
  <si>
    <t>Net Cashflow</t>
  </si>
  <si>
    <t>Other Income % Sales</t>
  </si>
  <si>
    <t>Depreciation % Sales</t>
  </si>
  <si>
    <t>Interest % Sales</t>
  </si>
  <si>
    <t>PBT % Sales</t>
  </si>
  <si>
    <t>EBITDA Growth</t>
  </si>
  <si>
    <t>EBIT Growth</t>
  </si>
  <si>
    <t>Net Profit Growth</t>
  </si>
  <si>
    <t>Dividend Growth</t>
  </si>
  <si>
    <t>EBITDA Margin</t>
  </si>
  <si>
    <t>EBIT Margin</t>
  </si>
  <si>
    <t>Net Profit Margin</t>
  </si>
  <si>
    <t>SalesExpenses%Sales</t>
  </si>
  <si>
    <t>Depreciation%Sales</t>
  </si>
  <si>
    <t>OperatingIncome%Sales</t>
  </si>
  <si>
    <t>Return on Capital Employed</t>
  </si>
  <si>
    <t>Retained Earnings%</t>
  </si>
  <si>
    <t>Return on Equity%</t>
  </si>
  <si>
    <t>Interest Coverage Ratio</t>
  </si>
  <si>
    <t>Debtor Turnover Ratio</t>
  </si>
  <si>
    <t>Creditor Turnover Ratio</t>
  </si>
  <si>
    <t>Inventory Turnover</t>
  </si>
  <si>
    <t>Fixed Asset Turnover</t>
  </si>
  <si>
    <t>Capital Turnover Ratio</t>
  </si>
  <si>
    <t>PBT Margin</t>
  </si>
  <si>
    <t>Sustainable Growth Rate</t>
  </si>
  <si>
    <t>Payable Days</t>
  </si>
  <si>
    <t>Inventory Days</t>
  </si>
  <si>
    <t>Cash Conversion cycle</t>
  </si>
  <si>
    <t>Debtor Days</t>
  </si>
  <si>
    <t>CFO/Sales</t>
  </si>
  <si>
    <t>CFO/Total Assets</t>
  </si>
  <si>
    <t>CFO/Total Debt</t>
  </si>
  <si>
    <t>(In Days)</t>
  </si>
  <si>
    <t>Mean</t>
  </si>
  <si>
    <t>Median</t>
  </si>
  <si>
    <t>Trend</t>
  </si>
  <si>
    <t>Year Weight</t>
  </si>
  <si>
    <t>Log-Linear Regression (implied CAGR)</t>
  </si>
  <si>
    <t>Geometric Mean / CAGR (FY17-FY26)</t>
  </si>
  <si>
    <t>Arithmetic Mean of YoY Growth (FY18-FY26)</t>
  </si>
  <si>
    <t>Growth Rate Methods (single implied annual rate)</t>
  </si>
  <si>
    <t>Log-Linear Regression method</t>
  </si>
  <si>
    <t>Geometric Mean method</t>
  </si>
  <si>
    <t>Arithmetic Mean method</t>
  </si>
  <si>
    <t>Sales Forecast by Method (₹ Cr)</t>
  </si>
  <si>
    <t>Select Method for Forecast</t>
  </si>
  <si>
    <t>EBITDA Forecast by Method (₹ Cr)</t>
  </si>
  <si>
    <t>Sales Growth Rate</t>
  </si>
  <si>
    <t>FY27 EBITDA - Base Case Output</t>
  </si>
  <si>
    <t>Senstivity Analysis</t>
  </si>
  <si>
    <t>FY27 EBITDA SENSITIVITY  (₹ Cr)</t>
  </si>
  <si>
    <t>Base Sales FY27</t>
  </si>
  <si>
    <t>Base EBITDA FY27</t>
  </si>
  <si>
    <t>Vs Base :</t>
  </si>
  <si>
    <t>KEY RATIOS SCORECARD</t>
  </si>
  <si>
    <t>Metric</t>
  </si>
  <si>
    <t>FY26</t>
  </si>
  <si>
    <t>Hist. avg</t>
  </si>
  <si>
    <t>vs avg</t>
  </si>
  <si>
    <t>ROCE</t>
  </si>
  <si>
    <t>ROE</t>
  </si>
  <si>
    <t>▲▼ = FY26 vs historical average (Ratio Analysis). Inventory days: lower is better.</t>
  </si>
  <si>
    <t>MARGINS &amp; RETURNS  FY17–FY26</t>
  </si>
  <si>
    <t>Senstivity to Sales Growth and EBITDA margin</t>
  </si>
  <si>
    <t>FY27</t>
  </si>
  <si>
    <t>Base Sales at Base Growth Rate for FY27</t>
  </si>
  <si>
    <t xml:space="preserve">Base Case </t>
  </si>
  <si>
    <t>FY 17</t>
  </si>
  <si>
    <t>FY 18</t>
  </si>
  <si>
    <t>FY 19</t>
  </si>
  <si>
    <t>FY 20</t>
  </si>
  <si>
    <t>FY 21</t>
  </si>
  <si>
    <t>FY 22</t>
  </si>
  <si>
    <t>FY 23</t>
  </si>
  <si>
    <t>FY 24</t>
  </si>
  <si>
    <t>FY 25</t>
  </si>
  <si>
    <t>FY 26</t>
  </si>
  <si>
    <t xml:space="preserve">Range:         </t>
  </si>
  <si>
    <t xml:space="preserve">Range: </t>
  </si>
  <si>
    <t>Other Adjustments</t>
  </si>
  <si>
    <t>Arithmetic Mean of YoY EBITDA Growth (FY18-FY26)</t>
  </si>
  <si>
    <t>Dividends received</t>
  </si>
  <si>
    <t>Proceeds from shares</t>
  </si>
  <si>
    <t>Cash from Investing Activity -</t>
  </si>
  <si>
    <t>Cash from Financing Activity -</t>
  </si>
  <si>
    <t>Cash from Operating Activity -</t>
  </si>
  <si>
    <t>Redemp n Canc of Shares</t>
  </si>
  <si>
    <t>Supplementary data (consolidated, from annual report)</t>
  </si>
  <si>
    <t xml:space="preserve">Trade Payables </t>
  </si>
  <si>
    <t>KEY TAKEAWAYS</t>
  </si>
  <si>
    <t>Growth has slowed</t>
  </si>
  <si>
    <t>FY26 sales were ₹35,584 Cr, up 4.9% (FY24 +2.9%, FY25 -4.5%). The 10.5% ten-year mean is lifted by FY22-FY23 (+34% and +18.5%); the median is 7.4%.</t>
  </si>
  <si>
    <t>Margins are resilient</t>
  </si>
  <si>
    <t>FY26 EBITDA margin was 18.8% against a 19.4% ten-year mean. EBITDA grew 11.6% on sales growth of 4.9%, recovering from 17.7% in FY25. Net margin is 12.2% and ROE 20.2%.</t>
  </si>
  <si>
    <t>Profit and EPS</t>
  </si>
  <si>
    <t>FY26 net profit was ₹4,325 Cr (+18.0%) with EPS of ₹45.1. LTM profit to Jun-26 is ₹4,765 Cr (EPS ₹49.7). Both are on reported profit, after the model correction.</t>
  </si>
  <si>
    <t>Cash and balance sheet</t>
  </si>
  <si>
    <t>FY26 operating cash flow was ₹7,088 Cr, about 19.9% of sales. Borrowings rose to ₹3,929 Cr (₹2,290 Cr in FY25). Interest cover is 28.0x, down from 71x in FY17 but still comfortable.</t>
  </si>
  <si>
    <t>Valuation</t>
  </si>
  <si>
    <t>At ₹2,370 the stock trades at about 52.6x FY26 EPS (47.7x LTM), 10.6x book value and 31.8x LTM EV/EBITDA, so the price assumes sustained growth.</t>
  </si>
  <si>
    <t>Forecast</t>
  </si>
  <si>
    <t>Arithmetic Mean method: FY27E sales ₹39,318 Cr and EBITDA ₹7,391 Cr, rising to ₹64,764 Cr and ₹12,078 Cr by FY32E. The 10.5% growth assumption is well above FY26 (4.9%); Q1 FY27 sales growth of about 18% year on year is the main support. Margin only drifts from 18.8% to 18.65%.</t>
  </si>
  <si>
    <t>Sensitivity</t>
  </si>
  <si>
    <t>FY27 EBITDA ranges from ₹5,397 Cr to ₹9,613 Cr (-27% / +30% against base). A 2-point margin step moves EBITDA by about ₹786 Cr, roughly three times a 4-point growth step (about ₹268 Cr), so margin is the bigger swing factor.</t>
  </si>
  <si>
    <t>NOTES</t>
  </si>
  <si>
    <t>Price and share count are from the model's Data Sheet. Market cap = price × shares. EV = market cap + FY26 borrowings - FY26 cash &amp; bank (investments are not netted).</t>
  </si>
  <si>
    <t>Forecast uses the Arithmetic Mean method: sales grow at their mean historical growth (10.5%) and EBITDA at its own mean growth (10.3%), so margin is an output, not an input.</t>
  </si>
  <si>
    <t>Source: reviewed Asian Paints model. P&amp;L reconciles to reported PBT, the balance sheet balances, and the cash flow statement ties to the Data Sheet within            ±1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</si>
</sst>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 #,##0;&quot;₹&quot;\ \-#,##0"/>
    <numFmt numFmtId="7" formatCode="&quot;₹&quot;\ #,##0.00;&quot;₹&quot;\ \-#,##0.00"/>
    <numFmt numFmtId="43" formatCode="_ * #,##0.00_ ;_ * \-#,##0.00_ ;_ * &quot;-&quot;??_ ;_ @_ "/>
    <numFmt numFmtId="164" formatCode="[$-409]mmm\-yy;@"/>
    <numFmt numFmtId="165" formatCode="&quot;₹&quot;#,###.0;\(&quot;₹&quot;#,###.0\)\,\-"/>
    <numFmt numFmtId="166" formatCode="_(* #,##0.00_);_(* \(#,##0.00\);_(* &quot;-&quot;??_);_(@_)"/>
    <numFmt numFmtId="167" formatCode="&quot;₹&quot;\ #,##0.0;\ \(&quot;₹&quot;#,##0.0\);\ \-"/>
    <numFmt numFmtId="168" formatCode="&quot;₹&quot;#,###.0;\(&quot;₹&quot;#,###.0\);\-"/>
    <numFmt numFmtId="169" formatCode="0.00&quot;x&quot;"/>
    <numFmt numFmtId="170" formatCode="yyyy&quot;A&quot;"/>
    <numFmt numFmtId="171" formatCode="#,##0.0;\-#,##0.0"/>
    <numFmt numFmtId="172" formatCode="yyyy&quot;E&quot;"/>
    <numFmt numFmtId="173" formatCode="_ * #,##0.00_ ;_ * \-#,##0.00_ ;_ * \-??_ ;_ @_ "/>
    <numFmt numFmtId="174" formatCode="&quot;₹&quot;\ #,##0.0;&quot;₹&quot;\ \-#,##0"/>
    <numFmt numFmtId="175" formatCode="&quot;₹ #,##0.0;₹&quot;\ g\r\o\w\th"/>
    <numFmt numFmtId="176" formatCode="&quot;₹&quot;\ #,##0.0;&quot;₹&quot;\ \-#,##0.0"/>
    <numFmt numFmtId="177" formatCode="&quot;₹&quot;#,###.00;\(&quot;₹&quot;#,###.0\);\-"/>
    <numFmt numFmtId="178" formatCode="#,##0_ ;\-#,##0\ "/>
  </numFmts>
  <fonts count="37" x14ac:knownFonts="1">
    <font>
      <sz val="11"/>
      <color theme="1"/>
      <name val="Calibri"/>
      <family val="2"/>
    </font>
    <font>
      <sz val="11"/>
      <color theme="0"/>
      <name val="Calibri"/>
      <family val="2"/>
    </font>
    <font>
      <b/>
      <sz val="11"/>
      <color theme="0"/>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sz val="11"/>
      <color theme="1"/>
      <name val="Calibri"/>
      <family val="2"/>
    </font>
    <font>
      <sz val="11"/>
      <color theme="0" tint="-0.499984740745262"/>
      <name val="Calibri"/>
      <family val="2"/>
    </font>
    <font>
      <sz val="11"/>
      <name val="Calibri"/>
      <family val="2"/>
      <scheme val="minor"/>
    </font>
    <font>
      <u/>
      <sz val="11"/>
      <color theme="10"/>
      <name val="Calibri"/>
      <family val="2"/>
    </font>
    <font>
      <b/>
      <sz val="11"/>
      <color theme="1"/>
      <name val="Calibri"/>
      <family val="2"/>
    </font>
    <font>
      <i/>
      <sz val="11"/>
      <color theme="1"/>
      <name val="Calibri"/>
      <family val="2"/>
    </font>
    <font>
      <b/>
      <sz val="11"/>
      <color rgb="FF665EFD"/>
      <name val="Arial"/>
      <family val="2"/>
    </font>
    <font>
      <b/>
      <sz val="11"/>
      <name val="Calibri"/>
      <family val="2"/>
      <scheme val="minor"/>
    </font>
    <font>
      <b/>
      <i/>
      <sz val="11"/>
      <color theme="1"/>
      <name val="Calibri"/>
      <family val="2"/>
    </font>
    <font>
      <sz val="11"/>
      <color theme="1"/>
      <name val="Calibri"/>
      <family val="2"/>
      <charset val="1"/>
    </font>
    <font>
      <sz val="11"/>
      <color theme="4" tint="-0.249977111117893"/>
      <name val="Calibri"/>
      <family val="2"/>
    </font>
    <font>
      <sz val="11"/>
      <color theme="0"/>
      <name val="Calibri"/>
      <family val="2"/>
      <charset val="1"/>
    </font>
    <font>
      <b/>
      <sz val="11"/>
      <name val="Calibri"/>
      <family val="2"/>
    </font>
    <font>
      <sz val="11"/>
      <color theme="0" tint="-0.249977111117893"/>
      <name val="Calibri"/>
      <family val="2"/>
    </font>
    <font>
      <sz val="11"/>
      <color rgb="FFFF0000"/>
      <name val="Calibri"/>
      <family val="2"/>
    </font>
    <font>
      <sz val="11"/>
      <color theme="1" tint="4.9989318521683403E-2"/>
      <name val="Calibri"/>
      <family val="2"/>
    </font>
    <font>
      <sz val="11"/>
      <name val="Calibri"/>
      <family val="2"/>
    </font>
    <font>
      <sz val="14"/>
      <color theme="4" tint="0.39997558519241921"/>
      <name val="Calibri"/>
      <family val="2"/>
    </font>
    <font>
      <sz val="12"/>
      <color rgb="FF1F2937"/>
      <name val="Calibri"/>
      <family val="2"/>
    </font>
    <font>
      <b/>
      <sz val="12"/>
      <color rgb="FF1F2937"/>
      <name val="Calibri"/>
      <family val="2"/>
    </font>
    <font>
      <b/>
      <sz val="14"/>
      <color rgb="FF203864"/>
      <name val="Calibri"/>
      <family val="2"/>
    </font>
    <font>
      <b/>
      <sz val="16"/>
      <color rgb="FF203864"/>
      <name val="Calibri"/>
      <family val="2"/>
    </font>
    <font>
      <sz val="11"/>
      <color rgb="FF00B050"/>
      <name val="Calibri"/>
      <family val="2"/>
    </font>
    <font>
      <sz val="7"/>
      <name val="Calibri"/>
      <family val="2"/>
    </font>
    <font>
      <sz val="9"/>
      <color theme="1"/>
      <name val="Calibri"/>
      <family val="2"/>
    </font>
    <font>
      <b/>
      <sz val="11"/>
      <color theme="4" tint="0.39997558519241921"/>
      <name val="Calibri"/>
      <family val="2"/>
    </font>
    <font>
      <sz val="8"/>
      <name val="Calibri"/>
      <family val="2"/>
    </font>
    <font>
      <b/>
      <sz val="11"/>
      <color theme="0" tint="-0.249977111117893"/>
      <name val="Calibri"/>
      <family val="2"/>
    </font>
    <font>
      <b/>
      <sz val="16"/>
      <color rgb="FFFFFFFF"/>
      <name val="Arial"/>
      <family val="2"/>
    </font>
    <font>
      <b/>
      <sz val="14"/>
      <name val="Arial"/>
      <family val="2"/>
    </font>
    <font>
      <sz val="14"/>
      <name val="Arial"/>
      <family val="2"/>
    </font>
  </fonts>
  <fills count="20">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rgb="FF0275D8"/>
        <bgColor indexed="64"/>
      </patternFill>
    </fill>
    <fill>
      <patternFill patternType="solid">
        <fgColor theme="4" tint="-0.249977111117893"/>
        <bgColor indexed="64"/>
      </patternFill>
    </fill>
    <fill>
      <patternFill patternType="solid">
        <fgColor theme="9"/>
      </patternFill>
    </fill>
    <fill>
      <patternFill patternType="solid">
        <fgColor theme="4" tint="0.59999389629810485"/>
        <bgColor indexed="64"/>
      </patternFill>
    </fill>
    <fill>
      <patternFill patternType="solid">
        <fgColor theme="0"/>
        <bgColor indexed="64"/>
      </patternFill>
    </fill>
    <fill>
      <patternFill patternType="solid">
        <fgColor theme="4" tint="-0.249977111117893"/>
        <bgColor rgb="FF0563C1"/>
      </patternFill>
    </fill>
    <fill>
      <patternFill patternType="solid">
        <fgColor theme="7" tint="0.39997558519241921"/>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FFFFFF"/>
        <bgColor indexed="64"/>
      </patternFill>
    </fill>
    <fill>
      <patternFill patternType="solid">
        <fgColor rgb="FFEAF0FA"/>
        <bgColor indexed="64"/>
      </patternFill>
    </fill>
    <fill>
      <patternFill patternType="solid">
        <fgColor rgb="FFFFFFFF"/>
        <bgColor rgb="FF000000"/>
      </patternFill>
    </fill>
    <fill>
      <patternFill patternType="solid">
        <fgColor theme="0" tint="-4.9989318521683403E-2"/>
        <bgColor indexed="64"/>
      </patternFill>
    </fill>
    <fill>
      <patternFill patternType="solid">
        <fgColor rgb="FF2F5597"/>
        <bgColor rgb="FF1F3864"/>
      </patternFill>
    </fill>
    <fill>
      <patternFill patternType="solid">
        <fgColor rgb="FFDDEBF7"/>
        <bgColor rgb="FFCCFFFF"/>
      </patternFill>
    </fill>
  </fills>
  <borders count="17">
    <border>
      <left/>
      <right/>
      <top/>
      <bottom/>
      <diagonal/>
    </border>
    <border>
      <left/>
      <right/>
      <top style="dotted">
        <color auto="1"/>
      </top>
      <bottom style="dotted">
        <color auto="1"/>
      </bottom>
      <diagonal/>
    </border>
    <border>
      <left/>
      <right/>
      <top style="dotted">
        <color auto="1"/>
      </top>
      <bottom/>
      <diagonal/>
    </border>
    <border>
      <left/>
      <right/>
      <top/>
      <bottom style="dotted">
        <color auto="1"/>
      </bottom>
      <diagonal/>
    </border>
    <border>
      <left style="thin">
        <color rgb="FFFFFFFF"/>
      </left>
      <right style="thin">
        <color rgb="FFFFFFFF"/>
      </right>
      <top style="thin">
        <color rgb="FFFFFFFF"/>
      </top>
      <bottom style="thin">
        <color rgb="FFFFFFFF"/>
      </bottom>
      <diagonal/>
    </border>
    <border>
      <left style="medium">
        <color rgb="FF203864"/>
      </left>
      <right style="medium">
        <color rgb="FF203864"/>
      </right>
      <top style="medium">
        <color rgb="FF203864"/>
      </top>
      <bottom style="medium">
        <color rgb="FF203864"/>
      </bottom>
      <diagonal/>
    </border>
    <border>
      <left style="thin">
        <color rgb="FFD0D5DD"/>
      </left>
      <right/>
      <top/>
      <bottom/>
      <diagonal/>
    </border>
    <border>
      <left/>
      <right style="thin">
        <color rgb="FFD0D5DD"/>
      </right>
      <top/>
      <bottom/>
      <diagonal/>
    </border>
    <border>
      <left style="thin">
        <color rgb="FFD0D5DD"/>
      </left>
      <right/>
      <top style="thin">
        <color rgb="FFD0D5DD"/>
      </top>
      <bottom style="thin">
        <color rgb="FFBF9000"/>
      </bottom>
      <diagonal/>
    </border>
    <border>
      <left/>
      <right/>
      <top style="thin">
        <color rgb="FFD0D5DD"/>
      </top>
      <bottom style="thin">
        <color rgb="FFBF9000"/>
      </bottom>
      <diagonal/>
    </border>
    <border>
      <left/>
      <right style="thin">
        <color rgb="FFD0D5DD"/>
      </right>
      <top style="thin">
        <color rgb="FFD0D5DD"/>
      </top>
      <bottom style="thin">
        <color rgb="FFBF9000"/>
      </bottom>
      <diagonal/>
    </border>
    <border>
      <left style="thin">
        <color rgb="FFD0D5DD"/>
      </left>
      <right/>
      <top/>
      <bottom style="thin">
        <color rgb="FFBF9000"/>
      </bottom>
      <diagonal/>
    </border>
    <border>
      <left/>
      <right/>
      <top/>
      <bottom style="thin">
        <color rgb="FFBF9000"/>
      </bottom>
      <diagonal/>
    </border>
    <border>
      <left/>
      <right style="thin">
        <color rgb="FFD0D5DD"/>
      </right>
      <top/>
      <bottom style="thin">
        <color rgb="FFBF9000"/>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0">
    <xf numFmtId="0" fontId="0" fillId="0" borderId="0"/>
    <xf numFmtId="0" fontId="4" fillId="0" borderId="0"/>
    <xf numFmtId="43" fontId="4" fillId="0" borderId="0" applyFont="0" applyFill="0" applyBorder="0" applyAlignment="0" applyProtection="0"/>
    <xf numFmtId="0" fontId="5" fillId="3" borderId="0" applyNumberFormat="0" applyBorder="0" applyAlignment="0" applyProtection="0"/>
    <xf numFmtId="0" fontId="5" fillId="2" borderId="0" applyNumberFormat="0" applyBorder="0" applyAlignment="0" applyProtection="0"/>
    <xf numFmtId="9" fontId="4" fillId="0" borderId="0" applyFont="0" applyFill="0" applyBorder="0" applyAlignment="0" applyProtection="0"/>
    <xf numFmtId="9" fontId="6" fillId="0" borderId="0" applyFont="0" applyFill="0" applyBorder="0" applyAlignment="0" applyProtection="0"/>
    <xf numFmtId="0" fontId="5" fillId="6" borderId="0" applyNumberFormat="0" applyBorder="0" applyAlignment="0" applyProtection="0"/>
    <xf numFmtId="0" fontId="9" fillId="0" borderId="0" applyNumberFormat="0" applyFill="0" applyBorder="0" applyAlignment="0" applyProtection="0">
      <alignment vertical="top"/>
      <protection locked="0"/>
    </xf>
    <xf numFmtId="0" fontId="15" fillId="0" borderId="0"/>
  </cellStyleXfs>
  <cellXfs count="138">
    <xf numFmtId="0" fontId="0" fillId="0" borderId="0" xfId="0"/>
    <xf numFmtId="0" fontId="4" fillId="0" borderId="0" xfId="1"/>
    <xf numFmtId="43" fontId="3" fillId="0" borderId="0" xfId="2" applyFont="1" applyBorder="1"/>
    <xf numFmtId="43" fontId="4" fillId="0" borderId="0" xfId="2" applyFont="1" applyBorder="1"/>
    <xf numFmtId="164" fontId="2" fillId="4" borderId="0" xfId="1" applyNumberFormat="1" applyFont="1" applyFill="1" applyAlignment="1">
      <alignment horizontal="center"/>
    </xf>
    <xf numFmtId="43" fontId="0" fillId="0" borderId="0" xfId="2" applyFont="1" applyBorder="1"/>
    <xf numFmtId="164" fontId="0" fillId="0" borderId="0" xfId="0" applyNumberFormat="1"/>
    <xf numFmtId="0" fontId="1" fillId="5" borderId="0" xfId="0" applyFont="1" applyFill="1"/>
    <xf numFmtId="164" fontId="1" fillId="5" borderId="0" xfId="0" applyNumberFormat="1" applyFont="1" applyFill="1" applyAlignment="1">
      <alignment horizontal="right"/>
    </xf>
    <xf numFmtId="165" fontId="0" fillId="0" borderId="0" xfId="0" applyNumberFormat="1"/>
    <xf numFmtId="0" fontId="7" fillId="0" borderId="0" xfId="0" applyFont="1"/>
    <xf numFmtId="165" fontId="7" fillId="0" borderId="0" xfId="0" applyNumberFormat="1" applyFont="1"/>
    <xf numFmtId="10" fontId="7" fillId="0" borderId="0" xfId="6" applyNumberFormat="1" applyFont="1"/>
    <xf numFmtId="10" fontId="7" fillId="0" borderId="0" xfId="6" applyNumberFormat="1" applyFont="1" applyAlignment="1">
      <alignment horizontal="right"/>
    </xf>
    <xf numFmtId="7" fontId="0" fillId="0" borderId="0" xfId="0" applyNumberFormat="1"/>
    <xf numFmtId="10" fontId="7" fillId="0" borderId="0" xfId="6" applyNumberFormat="1" applyFont="1" applyAlignment="1">
      <alignment horizontal="left"/>
    </xf>
    <xf numFmtId="166" fontId="0" fillId="0" borderId="0" xfId="2" applyNumberFormat="1" applyFont="1" applyBorder="1"/>
    <xf numFmtId="164" fontId="8" fillId="0" borderId="0" xfId="2" applyNumberFormat="1" applyFont="1" applyFill="1" applyBorder="1"/>
    <xf numFmtId="164" fontId="2" fillId="4" borderId="0" xfId="2" applyNumberFormat="1" applyFont="1" applyFill="1" applyBorder="1"/>
    <xf numFmtId="0" fontId="0" fillId="7" borderId="0" xfId="0" applyFill="1"/>
    <xf numFmtId="43" fontId="4" fillId="0" borderId="0" xfId="2" applyFont="1" applyFill="1" applyBorder="1"/>
    <xf numFmtId="43" fontId="3" fillId="0" borderId="0" xfId="2" applyFont="1" applyFill="1" applyBorder="1"/>
    <xf numFmtId="43" fontId="10" fillId="0" borderId="0" xfId="2" applyFont="1" applyFill="1" applyBorder="1"/>
    <xf numFmtId="0" fontId="10" fillId="0" borderId="0" xfId="0" applyFont="1"/>
    <xf numFmtId="7" fontId="10" fillId="0" borderId="0" xfId="0" applyNumberFormat="1" applyFont="1"/>
    <xf numFmtId="165" fontId="10" fillId="0" borderId="0" xfId="0" applyNumberFormat="1" applyFont="1"/>
    <xf numFmtId="0" fontId="11" fillId="0" borderId="0" xfId="0" applyFont="1"/>
    <xf numFmtId="167" fontId="0" fillId="0" borderId="0" xfId="0" applyNumberFormat="1"/>
    <xf numFmtId="167" fontId="10" fillId="0" borderId="0" xfId="0" applyNumberFormat="1" applyFont="1"/>
    <xf numFmtId="43" fontId="10" fillId="0" borderId="0" xfId="2" applyFont="1" applyBorder="1"/>
    <xf numFmtId="168" fontId="0" fillId="0" borderId="0" xfId="0" applyNumberFormat="1"/>
    <xf numFmtId="168" fontId="10" fillId="0" borderId="1" xfId="0" applyNumberFormat="1" applyFont="1" applyBorder="1"/>
    <xf numFmtId="168" fontId="10" fillId="0" borderId="0" xfId="0" applyNumberFormat="1" applyFont="1"/>
    <xf numFmtId="10" fontId="7" fillId="0" borderId="0" xfId="6" applyNumberFormat="1" applyFont="1" applyBorder="1" applyAlignment="1">
      <alignment horizontal="left"/>
    </xf>
    <xf numFmtId="10" fontId="7" fillId="0" borderId="0" xfId="6" applyNumberFormat="1" applyFont="1" applyBorder="1" applyAlignment="1">
      <alignment horizontal="right"/>
    </xf>
    <xf numFmtId="164" fontId="13" fillId="8" borderId="0" xfId="1" applyNumberFormat="1" applyFont="1" applyFill="1" applyAlignment="1">
      <alignment horizontal="center"/>
    </xf>
    <xf numFmtId="10" fontId="0" fillId="0" borderId="0" xfId="0" applyNumberFormat="1"/>
    <xf numFmtId="0" fontId="14" fillId="0" borderId="0" xfId="0" applyFont="1"/>
    <xf numFmtId="0" fontId="1" fillId="5" borderId="0" xfId="0" applyFont="1" applyFill="1" applyAlignment="1">
      <alignment horizontal="center"/>
    </xf>
    <xf numFmtId="0" fontId="0" fillId="0" borderId="2" xfId="0" applyBorder="1"/>
    <xf numFmtId="10" fontId="0" fillId="0" borderId="2" xfId="0" applyNumberFormat="1" applyBorder="1"/>
    <xf numFmtId="0" fontId="0" fillId="0" borderId="3" xfId="0" applyBorder="1"/>
    <xf numFmtId="10" fontId="0" fillId="0" borderId="3" xfId="0" applyNumberFormat="1" applyBorder="1"/>
    <xf numFmtId="169" fontId="0" fillId="0" borderId="3" xfId="0" applyNumberFormat="1" applyBorder="1"/>
    <xf numFmtId="169" fontId="0" fillId="0" borderId="2" xfId="0" applyNumberFormat="1" applyBorder="1"/>
    <xf numFmtId="169" fontId="0" fillId="0" borderId="0" xfId="0" applyNumberFormat="1"/>
    <xf numFmtId="1" fontId="0" fillId="0" borderId="2" xfId="0" applyNumberFormat="1" applyBorder="1"/>
    <xf numFmtId="1" fontId="0" fillId="0" borderId="0" xfId="0" applyNumberFormat="1"/>
    <xf numFmtId="1" fontId="0" fillId="0" borderId="3" xfId="0" applyNumberFormat="1" applyBorder="1"/>
    <xf numFmtId="0" fontId="0" fillId="0" borderId="0" xfId="0" applyAlignment="1">
      <alignment horizontal="center"/>
    </xf>
    <xf numFmtId="164" fontId="1" fillId="5" borderId="0" xfId="0" applyNumberFormat="1" applyFont="1" applyFill="1" applyAlignment="1">
      <alignment horizontal="center"/>
    </xf>
    <xf numFmtId="0" fontId="15" fillId="0" borderId="0" xfId="9"/>
    <xf numFmtId="9" fontId="15" fillId="0" borderId="0" xfId="9" applyNumberFormat="1"/>
    <xf numFmtId="0" fontId="15" fillId="0" borderId="0" xfId="9" applyAlignment="1">
      <alignment horizontal="right"/>
    </xf>
    <xf numFmtId="10" fontId="15" fillId="0" borderId="0" xfId="9" applyNumberFormat="1"/>
    <xf numFmtId="0" fontId="16" fillId="0" borderId="0" xfId="9" applyFont="1"/>
    <xf numFmtId="171" fontId="15" fillId="0" borderId="0" xfId="9" applyNumberFormat="1"/>
    <xf numFmtId="170" fontId="15" fillId="0" borderId="0" xfId="9" applyNumberFormat="1"/>
    <xf numFmtId="3" fontId="15" fillId="0" borderId="0" xfId="9" applyNumberFormat="1"/>
    <xf numFmtId="173" fontId="17" fillId="0" borderId="0" xfId="9" applyNumberFormat="1" applyFont="1" applyAlignment="1">
      <alignment horizontal="center"/>
    </xf>
    <xf numFmtId="0" fontId="18" fillId="0" borderId="0" xfId="9" applyFont="1"/>
    <xf numFmtId="9" fontId="16" fillId="0" borderId="0" xfId="9" applyNumberFormat="1" applyFont="1"/>
    <xf numFmtId="172" fontId="15" fillId="0" borderId="0" xfId="9" applyNumberFormat="1"/>
    <xf numFmtId="174" fontId="0" fillId="0" borderId="0" xfId="0" applyNumberFormat="1"/>
    <xf numFmtId="0" fontId="19" fillId="12" borderId="0" xfId="0" applyFont="1" applyFill="1"/>
    <xf numFmtId="0" fontId="19" fillId="11" borderId="0" xfId="0" applyFont="1" applyFill="1"/>
    <xf numFmtId="170" fontId="21" fillId="11" borderId="0" xfId="0" applyNumberFormat="1" applyFont="1" applyFill="1"/>
    <xf numFmtId="171" fontId="21" fillId="11" borderId="0" xfId="0" applyNumberFormat="1" applyFont="1" applyFill="1"/>
    <xf numFmtId="0" fontId="22" fillId="11" borderId="0" xfId="0" applyFont="1" applyFill="1"/>
    <xf numFmtId="0" fontId="19" fillId="8" borderId="0" xfId="0" applyFont="1" applyFill="1"/>
    <xf numFmtId="0" fontId="22" fillId="8" borderId="0" xfId="0" applyFont="1" applyFill="1"/>
    <xf numFmtId="0" fontId="22" fillId="8" borderId="0" xfId="0" applyFont="1" applyFill="1" applyAlignment="1">
      <alignment horizontal="left"/>
    </xf>
    <xf numFmtId="0" fontId="22" fillId="8" borderId="0" xfId="0" applyFont="1" applyFill="1" applyAlignment="1">
      <alignment horizontal="right"/>
    </xf>
    <xf numFmtId="10" fontId="22" fillId="8" borderId="0" xfId="0" applyNumberFormat="1" applyFont="1" applyFill="1"/>
    <xf numFmtId="7" fontId="22" fillId="8" borderId="0" xfId="0" applyNumberFormat="1" applyFont="1" applyFill="1"/>
    <xf numFmtId="0" fontId="0" fillId="8" borderId="0" xfId="0" applyFill="1"/>
    <xf numFmtId="0" fontId="26" fillId="8" borderId="8" xfId="0" applyFont="1" applyFill="1" applyBorder="1" applyAlignment="1">
      <alignment vertical="center"/>
    </xf>
    <xf numFmtId="0" fontId="26" fillId="15" borderId="0" xfId="0" applyFont="1" applyFill="1" applyAlignment="1">
      <alignment horizontal="center" vertical="center"/>
    </xf>
    <xf numFmtId="0" fontId="26" fillId="15" borderId="7" xfId="0" applyFont="1" applyFill="1" applyBorder="1" applyAlignment="1">
      <alignment horizontal="center" vertical="center"/>
    </xf>
    <xf numFmtId="0" fontId="22" fillId="11" borderId="0" xfId="0" applyFont="1" applyFill="1" applyAlignment="1">
      <alignment horizontal="left"/>
    </xf>
    <xf numFmtId="175" fontId="23" fillId="13" borderId="0" xfId="0" applyNumberFormat="1" applyFont="1" applyFill="1" applyAlignment="1">
      <alignment horizontal="left"/>
    </xf>
    <xf numFmtId="1" fontId="22" fillId="8" borderId="0" xfId="0" applyNumberFormat="1" applyFont="1" applyFill="1"/>
    <xf numFmtId="169" fontId="22" fillId="8" borderId="0" xfId="0" applyNumberFormat="1" applyFont="1" applyFill="1"/>
    <xf numFmtId="0" fontId="29" fillId="8" borderId="0" xfId="0" applyFont="1" applyFill="1"/>
    <xf numFmtId="0" fontId="29" fillId="11" borderId="0" xfId="0" applyFont="1" applyFill="1"/>
    <xf numFmtId="0" fontId="30" fillId="0" borderId="0" xfId="0" applyFont="1"/>
    <xf numFmtId="0" fontId="1" fillId="8" borderId="0" xfId="0" applyFont="1" applyFill="1" applyAlignment="1">
      <alignment horizontal="left"/>
    </xf>
    <xf numFmtId="0" fontId="1" fillId="5" borderId="0" xfId="0" applyFont="1" applyFill="1" applyAlignment="1">
      <alignment horizontal="right"/>
    </xf>
    <xf numFmtId="174" fontId="10" fillId="17" borderId="0" xfId="0" applyNumberFormat="1" applyFont="1" applyFill="1"/>
    <xf numFmtId="10" fontId="10" fillId="17" borderId="0" xfId="0" applyNumberFormat="1" applyFont="1" applyFill="1"/>
    <xf numFmtId="174" fontId="31" fillId="13" borderId="0" xfId="0" applyNumberFormat="1" applyFont="1" applyFill="1"/>
    <xf numFmtId="5" fontId="0" fillId="0" borderId="0" xfId="0" applyNumberFormat="1"/>
    <xf numFmtId="5" fontId="10" fillId="11" borderId="14" xfId="0" applyNumberFormat="1" applyFont="1" applyFill="1" applyBorder="1"/>
    <xf numFmtId="174" fontId="22" fillId="11" borderId="0" xfId="0" applyNumberFormat="1" applyFont="1" applyFill="1"/>
    <xf numFmtId="10" fontId="22" fillId="11" borderId="0" xfId="0" applyNumberFormat="1" applyFont="1" applyFill="1"/>
    <xf numFmtId="2" fontId="22" fillId="8" borderId="0" xfId="0" applyNumberFormat="1" applyFont="1" applyFill="1"/>
    <xf numFmtId="0" fontId="28" fillId="8" borderId="0" xfId="0" applyFont="1" applyFill="1" applyAlignment="1">
      <alignment horizontal="center" vertical="center"/>
    </xf>
    <xf numFmtId="0" fontId="20" fillId="11" borderId="0" xfId="0" applyFont="1" applyFill="1"/>
    <xf numFmtId="43" fontId="1" fillId="11" borderId="0" xfId="0" applyNumberFormat="1" applyFont="1" applyFill="1"/>
    <xf numFmtId="10" fontId="10" fillId="13" borderId="0" xfId="0" applyNumberFormat="1" applyFont="1" applyFill="1"/>
    <xf numFmtId="10" fontId="26" fillId="15" borderId="0" xfId="0" applyNumberFormat="1" applyFont="1" applyFill="1" applyAlignment="1">
      <alignment horizontal="center" vertical="center"/>
    </xf>
    <xf numFmtId="10" fontId="26" fillId="15" borderId="7" xfId="0" applyNumberFormat="1" applyFont="1" applyFill="1" applyBorder="1" applyAlignment="1">
      <alignment horizontal="center" vertical="center"/>
    </xf>
    <xf numFmtId="10" fontId="26" fillId="15" borderId="6" xfId="0" applyNumberFormat="1" applyFont="1" applyFill="1" applyBorder="1" applyAlignment="1">
      <alignment horizontal="center" vertical="center"/>
    </xf>
    <xf numFmtId="176" fontId="7" fillId="0" borderId="0" xfId="6" applyNumberFormat="1" applyFont="1" applyAlignment="1">
      <alignment horizontal="right"/>
    </xf>
    <xf numFmtId="177" fontId="0" fillId="0" borderId="0" xfId="0" applyNumberFormat="1"/>
    <xf numFmtId="10" fontId="19" fillId="11" borderId="0" xfId="0" applyNumberFormat="1" applyFont="1" applyFill="1"/>
    <xf numFmtId="178" fontId="10" fillId="17" borderId="0" xfId="0" applyNumberFormat="1" applyFont="1" applyFill="1"/>
    <xf numFmtId="5" fontId="18" fillId="11" borderId="0" xfId="0" applyNumberFormat="1" applyFont="1" applyFill="1"/>
    <xf numFmtId="3" fontId="0" fillId="0" borderId="0" xfId="2" applyNumberFormat="1" applyFont="1" applyBorder="1"/>
    <xf numFmtId="0" fontId="0" fillId="0" borderId="0" xfId="2" applyNumberFormat="1" applyFont="1" applyBorder="1"/>
    <xf numFmtId="2" fontId="0" fillId="0" borderId="0" xfId="2" applyNumberFormat="1" applyFont="1" applyBorder="1"/>
    <xf numFmtId="43" fontId="6" fillId="0" borderId="0" xfId="2" applyFont="1" applyFill="1" applyBorder="1"/>
    <xf numFmtId="3" fontId="10" fillId="0" borderId="0" xfId="2" applyNumberFormat="1" applyFont="1" applyBorder="1"/>
    <xf numFmtId="0" fontId="10" fillId="0" borderId="0" xfId="2" applyNumberFormat="1" applyFont="1" applyBorder="1"/>
    <xf numFmtId="0" fontId="33" fillId="12" borderId="0" xfId="0" applyFont="1" applyFill="1"/>
    <xf numFmtId="5" fontId="24" fillId="14" borderId="4" xfId="0" applyNumberFormat="1" applyFont="1" applyFill="1" applyBorder="1" applyAlignment="1">
      <alignment horizontal="center" vertical="center"/>
    </xf>
    <xf numFmtId="5" fontId="25" fillId="14" borderId="5" xfId="0" applyNumberFormat="1" applyFont="1" applyFill="1" applyBorder="1" applyAlignment="1">
      <alignment horizontal="center" vertical="center"/>
    </xf>
    <xf numFmtId="0" fontId="35" fillId="19" borderId="15" xfId="9" applyFont="1" applyFill="1" applyBorder="1" applyAlignment="1">
      <alignment vertical="center" wrapText="1" indent="1"/>
    </xf>
    <xf numFmtId="0" fontId="27" fillId="14" borderId="8" xfId="0" applyFont="1" applyFill="1" applyBorder="1" applyAlignment="1">
      <alignment horizontal="left" vertical="center" indent="1"/>
    </xf>
    <xf numFmtId="0" fontId="27" fillId="14" borderId="9" xfId="0" applyFont="1" applyFill="1" applyBorder="1" applyAlignment="1">
      <alignment horizontal="left" vertical="center" indent="1"/>
    </xf>
    <xf numFmtId="0" fontId="27" fillId="14" borderId="10" xfId="0" applyFont="1" applyFill="1" applyBorder="1" applyAlignment="1">
      <alignment horizontal="left" vertical="center" indent="1"/>
    </xf>
    <xf numFmtId="0" fontId="26" fillId="15" borderId="6" xfId="0" applyFont="1" applyFill="1" applyBorder="1" applyAlignment="1">
      <alignment horizontal="left" vertical="center" indent="1"/>
    </xf>
    <xf numFmtId="0" fontId="26" fillId="15" borderId="0" xfId="0" applyFont="1" applyFill="1" applyAlignment="1">
      <alignment horizontal="left" vertical="center" indent="1"/>
    </xf>
    <xf numFmtId="0" fontId="26" fillId="16" borderId="11" xfId="0" applyFont="1" applyFill="1" applyBorder="1" applyAlignment="1">
      <alignment horizontal="left" vertical="center" indent="1"/>
    </xf>
    <xf numFmtId="0" fontId="26" fillId="16" borderId="12" xfId="0" applyFont="1" applyFill="1" applyBorder="1" applyAlignment="1">
      <alignment horizontal="left" vertical="center" indent="1"/>
    </xf>
    <xf numFmtId="0" fontId="26" fillId="16" borderId="13" xfId="0" applyFont="1" applyFill="1" applyBorder="1" applyAlignment="1">
      <alignment horizontal="left" vertical="center" indent="1"/>
    </xf>
    <xf numFmtId="0" fontId="22" fillId="8" borderId="0" xfId="0" applyFont="1" applyFill="1" applyAlignment="1">
      <alignment horizontal="left"/>
    </xf>
    <xf numFmtId="0" fontId="18" fillId="8" borderId="0" xfId="0" applyFont="1" applyFill="1" applyAlignment="1">
      <alignment horizontal="left"/>
    </xf>
    <xf numFmtId="0" fontId="22" fillId="8" borderId="0" xfId="0" applyFont="1" applyFill="1" applyAlignment="1">
      <alignment horizontal="right"/>
    </xf>
    <xf numFmtId="0" fontId="36" fillId="0" borderId="0" xfId="9" applyFont="1" applyAlignment="1">
      <alignment horizontal="left" vertical="top" wrapText="1"/>
    </xf>
    <xf numFmtId="0" fontId="34" fillId="18" borderId="0" xfId="9" applyFont="1" applyFill="1" applyAlignment="1">
      <alignment horizontal="center" vertical="center"/>
    </xf>
    <xf numFmtId="0" fontId="36" fillId="0" borderId="16" xfId="9" applyFont="1" applyBorder="1" applyAlignment="1">
      <alignment horizontal="left" vertical="top" wrapText="1"/>
    </xf>
    <xf numFmtId="43" fontId="9" fillId="0" borderId="0" xfId="8" applyNumberFormat="1" applyBorder="1" applyAlignment="1" applyProtection="1">
      <alignment horizontal="center"/>
    </xf>
    <xf numFmtId="43" fontId="2" fillId="6" borderId="0" xfId="7" applyNumberFormat="1" applyFont="1" applyBorder="1" applyAlignment="1">
      <alignment horizontal="center"/>
    </xf>
    <xf numFmtId="0" fontId="1" fillId="5" borderId="0" xfId="0" applyFont="1" applyFill="1" applyAlignment="1">
      <alignment horizontal="center"/>
    </xf>
    <xf numFmtId="173" fontId="17" fillId="9" borderId="0" xfId="9" applyNumberFormat="1" applyFont="1" applyFill="1" applyAlignment="1">
      <alignment horizontal="center"/>
    </xf>
    <xf numFmtId="10" fontId="15" fillId="10" borderId="0" xfId="9" applyNumberFormat="1" applyFill="1" applyAlignment="1">
      <alignment horizontal="center"/>
    </xf>
    <xf numFmtId="9" fontId="15" fillId="10" borderId="0" xfId="9" applyNumberFormat="1" applyFill="1" applyAlignment="1">
      <alignment horizontal="center"/>
    </xf>
  </cellXfs>
  <cellStyles count="10">
    <cellStyle name="60% - Accent1 2" xfId="4" xr:uid="{2FD085E3-627F-4405-BF99-9DFC3EE8A34F}"/>
    <cellStyle name="60% - Accent3 2" xfId="3" xr:uid="{0FF3883C-9DD8-4EB6-A2ED-24288717E64B}"/>
    <cellStyle name="Accent6 2" xfId="7" xr:uid="{81C6A239-0DC5-4047-BF3A-4187BF92F32B}"/>
    <cellStyle name="Comma 2" xfId="2" xr:uid="{12C56994-C272-44C3-9BED-8972604B0D3A}"/>
    <cellStyle name="Hyperlink" xfId="8" builtinId="8"/>
    <cellStyle name="Normal" xfId="0" builtinId="0"/>
    <cellStyle name="Normal 2" xfId="1" xr:uid="{300286DA-578E-410F-94F6-E3C20089D535}"/>
    <cellStyle name="Normal 3" xfId="9" xr:uid="{AC5564AF-9748-48B5-82F4-E33F4013E8E8}"/>
    <cellStyle name="Percent" xfId="6" builtinId="5"/>
    <cellStyle name="Percent 2" xfId="5" xr:uid="{BD617BAD-5E00-4F4E-A03B-B504AD91C060}"/>
  </cellStyles>
  <dxfs count="7">
    <dxf>
      <font>
        <b/>
        <i val="0"/>
        <color theme="0"/>
      </font>
      <fill>
        <patternFill>
          <bgColor theme="5"/>
        </patternFill>
      </fill>
    </dxf>
    <dxf>
      <font>
        <color rgb="FF9C0006"/>
      </font>
      <fill>
        <patternFill>
          <bgColor rgb="FFFFC7CE"/>
        </patternFill>
      </fill>
    </dxf>
    <dxf>
      <font>
        <color rgb="FF9C0006"/>
      </font>
    </dxf>
    <dxf>
      <font>
        <color rgb="FFFF0000"/>
      </font>
    </dxf>
    <dxf>
      <font>
        <color rgb="FF006100"/>
      </font>
      <fill>
        <patternFill>
          <bgColor rgb="FFC6EFCE"/>
        </patternFill>
      </fill>
    </dxf>
    <dxf>
      <font>
        <strike/>
        <color rgb="FFFF0000"/>
      </font>
      <fill>
        <patternFill patternType="solid">
          <bgColor theme="0"/>
        </patternFill>
      </fill>
    </dxf>
    <dxf>
      <font>
        <strike val="0"/>
        <color rgb="FFFF0000"/>
      </font>
      <fill>
        <patternFill>
          <bgColor theme="0"/>
        </patternFill>
      </fill>
    </dxf>
  </dxfs>
  <tableStyles count="0" defaultTableStyle="TableStyleMedium2" defaultPivotStyle="PivotStyleLight16"/>
  <colors>
    <mruColors>
      <color rgb="FFAC3004"/>
      <color rgb="FFA6190A"/>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sz="1400" b="1">
                <a:solidFill>
                  <a:schemeClr val="accent1">
                    <a:lumMod val="75000"/>
                  </a:schemeClr>
                </a:solidFill>
              </a:rPr>
              <a:t>SALES &amp; EBITDA — FY17A TO FY32E  (₹ Cr) </a:t>
            </a:r>
          </a:p>
        </c:rich>
      </c:tx>
      <c:overlay val="0"/>
      <c:spPr>
        <a:noFill/>
        <a:ln>
          <a:noFill/>
        </a:ln>
        <a:effectLst/>
      </c:spPr>
    </c:title>
    <c:autoTitleDeleted val="0"/>
    <c:plotArea>
      <c:layout/>
      <c:barChart>
        <c:barDir val="col"/>
        <c:grouping val="clustered"/>
        <c:varyColors val="0"/>
        <c:ser>
          <c:idx val="0"/>
          <c:order val="0"/>
          <c:tx>
            <c:strRef>
              <c:f>Projections!$B$6</c:f>
              <c:strCache>
                <c:ptCount val="1"/>
                <c:pt idx="0">
                  <c:v>Sales</c:v>
                </c:pt>
              </c:strCache>
            </c:strRef>
          </c:tx>
          <c:spPr>
            <a:solidFill>
              <a:schemeClr val="accent1"/>
            </a:solidFill>
            <a:ln>
              <a:noFill/>
            </a:ln>
            <a:effectLst/>
          </c:spPr>
          <c:invertIfNegative val="0"/>
          <c:cat>
            <c:strRef>
              <c:f>Projections!$B$5:$R$5</c:f>
              <c:strCache>
                <c:ptCount val="17"/>
                <c:pt idx="0">
                  <c:v>Years </c:v>
                </c:pt>
                <c:pt idx="1">
                  <c:v>2017A</c:v>
                </c:pt>
                <c:pt idx="2">
                  <c:v>2018A</c:v>
                </c:pt>
                <c:pt idx="3">
                  <c:v>2019A</c:v>
                </c:pt>
                <c:pt idx="4">
                  <c:v>2020A</c:v>
                </c:pt>
                <c:pt idx="5">
                  <c:v>2021A</c:v>
                </c:pt>
                <c:pt idx="6">
                  <c:v>2022A</c:v>
                </c:pt>
                <c:pt idx="7">
                  <c:v>2023A</c:v>
                </c:pt>
                <c:pt idx="8">
                  <c:v>2024A</c:v>
                </c:pt>
                <c:pt idx="9">
                  <c:v>2025A</c:v>
                </c:pt>
                <c:pt idx="10">
                  <c:v>2026A</c:v>
                </c:pt>
                <c:pt idx="11">
                  <c:v>2027E</c:v>
                </c:pt>
                <c:pt idx="12">
                  <c:v>2028E</c:v>
                </c:pt>
                <c:pt idx="13">
                  <c:v>2029E</c:v>
                </c:pt>
                <c:pt idx="14">
                  <c:v>2030E</c:v>
                </c:pt>
                <c:pt idx="15">
                  <c:v>2031E</c:v>
                </c:pt>
                <c:pt idx="16">
                  <c:v>2032E</c:v>
                </c:pt>
              </c:strCache>
            </c:strRef>
          </c:cat>
          <c:val>
            <c:numRef>
              <c:f>Projections!$C$6:$R$6</c:f>
              <c:numCache>
                <c:formatCode>#,##0.0;\-#,##0.0</c:formatCode>
                <c:ptCount val="16"/>
                <c:pt idx="0">
                  <c:v>15061.99</c:v>
                </c:pt>
                <c:pt idx="1">
                  <c:v>16824.55</c:v>
                </c:pt>
                <c:pt idx="2">
                  <c:v>19240.13</c:v>
                </c:pt>
                <c:pt idx="3">
                  <c:v>20211.25</c:v>
                </c:pt>
                <c:pt idx="4">
                  <c:v>21712.79</c:v>
                </c:pt>
                <c:pt idx="5">
                  <c:v>29101.279999999999</c:v>
                </c:pt>
                <c:pt idx="6">
                  <c:v>34488.589999999997</c:v>
                </c:pt>
                <c:pt idx="7">
                  <c:v>35494.730000000003</c:v>
                </c:pt>
                <c:pt idx="8">
                  <c:v>33905.620000000003</c:v>
                </c:pt>
                <c:pt idx="9">
                  <c:v>35583.54</c:v>
                </c:pt>
                <c:pt idx="10">
                  <c:v>39318.457473640068</c:v>
                </c:pt>
                <c:pt idx="11">
                  <c:v>43445.399139783243</c:v>
                </c:pt>
                <c:pt idx="12">
                  <c:v>48005.512619117893</c:v>
                </c:pt>
                <c:pt idx="13">
                  <c:v>53044.2644665224</c:v>
                </c:pt>
                <c:pt idx="14">
                  <c:v>58611.893494786578</c:v>
                </c:pt>
                <c:pt idx="15">
                  <c:v>64763.911680071375</c:v>
                </c:pt>
              </c:numCache>
            </c:numRef>
          </c:val>
          <c:extLst>
            <c:ext xmlns:c16="http://schemas.microsoft.com/office/drawing/2014/chart" uri="{C3380CC4-5D6E-409C-BE32-E72D297353CC}">
              <c16:uniqueId val="{00000007-184B-46BE-B7EC-FE0B270E6637}"/>
            </c:ext>
          </c:extLst>
        </c:ser>
        <c:dLbls>
          <c:showLegendKey val="0"/>
          <c:showVal val="0"/>
          <c:showCatName val="0"/>
          <c:showSerName val="0"/>
          <c:showPercent val="0"/>
          <c:showBubbleSize val="0"/>
        </c:dLbls>
        <c:gapWidth val="219"/>
        <c:axId val="693012144"/>
        <c:axId val="693003144"/>
      </c:barChart>
      <c:lineChart>
        <c:grouping val="standard"/>
        <c:varyColors val="0"/>
        <c:ser>
          <c:idx val="1"/>
          <c:order val="1"/>
          <c:tx>
            <c:strRef>
              <c:f>Projections!$B$28</c:f>
              <c:strCache>
                <c:ptCount val="1"/>
                <c:pt idx="0">
                  <c:v>EBITDA</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cat>
            <c:strRef>
              <c:f>Projections!$B$5:$R$5</c:f>
              <c:strCache>
                <c:ptCount val="17"/>
                <c:pt idx="0">
                  <c:v>Years </c:v>
                </c:pt>
                <c:pt idx="1">
                  <c:v>2017A</c:v>
                </c:pt>
                <c:pt idx="2">
                  <c:v>2018A</c:v>
                </c:pt>
                <c:pt idx="3">
                  <c:v>2019A</c:v>
                </c:pt>
                <c:pt idx="4">
                  <c:v>2020A</c:v>
                </c:pt>
                <c:pt idx="5">
                  <c:v>2021A</c:v>
                </c:pt>
                <c:pt idx="6">
                  <c:v>2022A</c:v>
                </c:pt>
                <c:pt idx="7">
                  <c:v>2023A</c:v>
                </c:pt>
                <c:pt idx="8">
                  <c:v>2024A</c:v>
                </c:pt>
                <c:pt idx="9">
                  <c:v>2025A</c:v>
                </c:pt>
                <c:pt idx="10">
                  <c:v>2026A</c:v>
                </c:pt>
                <c:pt idx="11">
                  <c:v>2027E</c:v>
                </c:pt>
                <c:pt idx="12">
                  <c:v>2028E</c:v>
                </c:pt>
                <c:pt idx="13">
                  <c:v>2029E</c:v>
                </c:pt>
                <c:pt idx="14">
                  <c:v>2030E</c:v>
                </c:pt>
                <c:pt idx="15">
                  <c:v>2031E</c:v>
                </c:pt>
                <c:pt idx="16">
                  <c:v>2032E</c:v>
                </c:pt>
              </c:strCache>
            </c:strRef>
          </c:cat>
          <c:val>
            <c:numRef>
              <c:f>Projections!$C$28:$R$28</c:f>
              <c:numCache>
                <c:formatCode>#,##0.0;\-#,##0.0</c:formatCode>
                <c:ptCount val="16"/>
                <c:pt idx="0">
                  <c:v>2993.76</c:v>
                </c:pt>
                <c:pt idx="1">
                  <c:v>3204.0100000000011</c:v>
                </c:pt>
                <c:pt idx="2">
                  <c:v>3764.9400000000014</c:v>
                </c:pt>
                <c:pt idx="3">
                  <c:v>4161.7699999999977</c:v>
                </c:pt>
                <c:pt idx="4">
                  <c:v>4855.6000000000031</c:v>
                </c:pt>
                <c:pt idx="5">
                  <c:v>4803.6099999999988</c:v>
                </c:pt>
                <c:pt idx="6">
                  <c:v>6259.8399999999956</c:v>
                </c:pt>
                <c:pt idx="7">
                  <c:v>7584.9800000000014</c:v>
                </c:pt>
                <c:pt idx="8">
                  <c:v>6006.2100000000019</c:v>
                </c:pt>
                <c:pt idx="9">
                  <c:v>6699.7300000000041</c:v>
                </c:pt>
                <c:pt idx="10">
                  <c:v>7391.1981436716751</c:v>
                </c:pt>
                <c:pt idx="11">
                  <c:v>8154.0315802301857</c:v>
                </c:pt>
                <c:pt idx="12">
                  <c:v>8995.5958044932449</c:v>
                </c:pt>
                <c:pt idx="13">
                  <c:v>9924.0164919170093</c:v>
                </c:pt>
                <c:pt idx="14">
                  <c:v>10948.257955592844</c:v>
                </c:pt>
                <c:pt idx="15">
                  <c:v>12078.209700662032</c:v>
                </c:pt>
              </c:numCache>
            </c:numRef>
          </c:val>
          <c:smooth val="0"/>
          <c:extLst>
            <c:ext xmlns:c16="http://schemas.microsoft.com/office/drawing/2014/chart" uri="{C3380CC4-5D6E-409C-BE32-E72D297353CC}">
              <c16:uniqueId val="{00000009-184B-46BE-B7EC-FE0B270E6637}"/>
            </c:ext>
          </c:extLst>
        </c:ser>
        <c:dLbls>
          <c:showLegendKey val="0"/>
          <c:showVal val="0"/>
          <c:showCatName val="0"/>
          <c:showSerName val="0"/>
          <c:showPercent val="0"/>
          <c:showBubbleSize val="0"/>
        </c:dLbls>
        <c:marker val="1"/>
        <c:smooth val="0"/>
        <c:axId val="713027496"/>
        <c:axId val="713032536"/>
      </c:lineChart>
      <c:catAx>
        <c:axId val="6930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3003144"/>
        <c:crosses val="autoZero"/>
        <c:auto val="1"/>
        <c:lblAlgn val="ctr"/>
        <c:lblOffset val="100"/>
        <c:noMultiLvlLbl val="0"/>
      </c:catAx>
      <c:valAx>
        <c:axId val="69300314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3012144"/>
        <c:crosses val="autoZero"/>
        <c:crossBetween val="between"/>
      </c:valAx>
      <c:valAx>
        <c:axId val="713032536"/>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13027496"/>
        <c:crosses val="max"/>
        <c:crossBetween val="between"/>
      </c:valAx>
      <c:catAx>
        <c:axId val="713027496"/>
        <c:scaling>
          <c:orientation val="minMax"/>
        </c:scaling>
        <c:delete val="1"/>
        <c:axPos val="b"/>
        <c:numFmt formatCode="General" sourceLinked="1"/>
        <c:majorTickMark val="out"/>
        <c:minorTickMark val="none"/>
        <c:tickLblPos val="nextTo"/>
        <c:crossAx val="713032536"/>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 Analysis'!$B$12</c:f>
              <c:strCache>
                <c:ptCount val="1"/>
                <c:pt idx="0">
                  <c:v>EBITDA Margin</c:v>
                </c:pt>
              </c:strCache>
            </c:strRef>
          </c:tx>
          <c:spPr>
            <a:ln w="28575" cap="rnd">
              <a:solidFill>
                <a:schemeClr val="accent1"/>
              </a:solidFill>
              <a:round/>
            </a:ln>
            <a:effectLst/>
          </c:spPr>
          <c:marker>
            <c:symbol val="none"/>
          </c:marker>
          <c:cat>
            <c:strRef>
              <c:f>'Data Sheet'!$B$128:$K$128</c:f>
              <c:strCache>
                <c:ptCount val="10"/>
                <c:pt idx="0">
                  <c:v> FY 17 </c:v>
                </c:pt>
                <c:pt idx="1">
                  <c:v> FY 18 </c:v>
                </c:pt>
                <c:pt idx="2">
                  <c:v> FY 19 </c:v>
                </c:pt>
                <c:pt idx="3">
                  <c:v> FY 20 </c:v>
                </c:pt>
                <c:pt idx="4">
                  <c:v> FY 21 </c:v>
                </c:pt>
                <c:pt idx="5">
                  <c:v> FY 22 </c:v>
                </c:pt>
                <c:pt idx="6">
                  <c:v> FY 23 </c:v>
                </c:pt>
                <c:pt idx="7">
                  <c:v> FY 24 </c:v>
                </c:pt>
                <c:pt idx="8">
                  <c:v> FY 25 </c:v>
                </c:pt>
                <c:pt idx="9">
                  <c:v> FY 26 </c:v>
                </c:pt>
              </c:strCache>
            </c:strRef>
          </c:cat>
          <c:val>
            <c:numRef>
              <c:f>'Ratio Analysis'!$C$12:$L$12</c:f>
              <c:numCache>
                <c:formatCode>0.00%</c:formatCode>
                <c:ptCount val="10"/>
                <c:pt idx="0">
                  <c:v>0.19876258050895004</c:v>
                </c:pt>
                <c:pt idx="1">
                  <c:v>0.19043659414367703</c:v>
                </c:pt>
                <c:pt idx="2">
                  <c:v>0.19568163000977651</c:v>
                </c:pt>
                <c:pt idx="3">
                  <c:v>0.2059135382522109</c:v>
                </c:pt>
                <c:pt idx="4">
                  <c:v>0.22362856178317034</c:v>
                </c:pt>
                <c:pt idx="5">
                  <c:v>0.16506524798909186</c:v>
                </c:pt>
                <c:pt idx="6">
                  <c:v>0.1815046657459756</c:v>
                </c:pt>
                <c:pt idx="7">
                  <c:v>0.21369313134654075</c:v>
                </c:pt>
                <c:pt idx="8">
                  <c:v>0.17714496888716388</c:v>
                </c:pt>
                <c:pt idx="9">
                  <c:v>0.18828171677129379</c:v>
                </c:pt>
              </c:numCache>
            </c:numRef>
          </c:val>
          <c:smooth val="0"/>
          <c:extLst>
            <c:ext xmlns:c16="http://schemas.microsoft.com/office/drawing/2014/chart" uri="{C3380CC4-5D6E-409C-BE32-E72D297353CC}">
              <c16:uniqueId val="{00000004-386A-43EF-808F-6E669B2FBD6E}"/>
            </c:ext>
          </c:extLst>
        </c:ser>
        <c:ser>
          <c:idx val="2"/>
          <c:order val="1"/>
          <c:tx>
            <c:strRef>
              <c:f>Dashboard!$S$6</c:f>
              <c:strCache>
                <c:ptCount val="1"/>
                <c:pt idx="0">
                  <c:v>ROCE</c:v>
                </c:pt>
              </c:strCache>
            </c:strRef>
          </c:tx>
          <c:spPr>
            <a:ln w="28575" cap="rnd">
              <a:solidFill>
                <a:schemeClr val="accent3"/>
              </a:solidFill>
              <a:round/>
            </a:ln>
            <a:effectLst/>
          </c:spPr>
          <c:marker>
            <c:symbol val="none"/>
          </c:marker>
          <c:cat>
            <c:strRef>
              <c:f>'Data Sheet'!$B$128:$K$128</c:f>
              <c:strCache>
                <c:ptCount val="10"/>
                <c:pt idx="0">
                  <c:v> FY 17 </c:v>
                </c:pt>
                <c:pt idx="1">
                  <c:v> FY 18 </c:v>
                </c:pt>
                <c:pt idx="2">
                  <c:v> FY 19 </c:v>
                </c:pt>
                <c:pt idx="3">
                  <c:v> FY 20 </c:v>
                </c:pt>
                <c:pt idx="4">
                  <c:v> FY 21 </c:v>
                </c:pt>
                <c:pt idx="5">
                  <c:v> FY 22 </c:v>
                </c:pt>
                <c:pt idx="6">
                  <c:v> FY 23 </c:v>
                </c:pt>
                <c:pt idx="7">
                  <c:v> FY 24 </c:v>
                </c:pt>
                <c:pt idx="8">
                  <c:v> FY 25 </c:v>
                </c:pt>
                <c:pt idx="9">
                  <c:v> FY 26 </c:v>
                </c:pt>
              </c:strCache>
            </c:strRef>
          </c:cat>
          <c:val>
            <c:numRef>
              <c:f>'Ratio Analysis'!$C$21:$L$21</c:f>
              <c:numCache>
                <c:formatCode>0.00%</c:formatCode>
                <c:ptCount val="10"/>
                <c:pt idx="0">
                  <c:v>0.32568533713528403</c:v>
                </c:pt>
                <c:pt idx="1">
                  <c:v>0.31793918820706524</c:v>
                </c:pt>
                <c:pt idx="2">
                  <c:v>0.29126564505590763</c:v>
                </c:pt>
                <c:pt idx="3">
                  <c:v>0.3005931373159112</c:v>
                </c:pt>
                <c:pt idx="4">
                  <c:v>0.29241025338485616</c:v>
                </c:pt>
                <c:pt idx="5">
                  <c:v>0.2589385678029722</c:v>
                </c:pt>
                <c:pt idx="6">
                  <c:v>0.30135928613070662</c:v>
                </c:pt>
                <c:pt idx="7">
                  <c:v>0.31750608885291864</c:v>
                </c:pt>
                <c:pt idx="8">
                  <c:v>0.22959184143918202</c:v>
                </c:pt>
                <c:pt idx="9">
                  <c:v>0.2162358718318835</c:v>
                </c:pt>
              </c:numCache>
            </c:numRef>
          </c:val>
          <c:smooth val="0"/>
          <c:extLst>
            <c:ext xmlns:c16="http://schemas.microsoft.com/office/drawing/2014/chart" uri="{C3380CC4-5D6E-409C-BE32-E72D297353CC}">
              <c16:uniqueId val="{00000006-386A-43EF-808F-6E669B2FBD6E}"/>
            </c:ext>
          </c:extLst>
        </c:ser>
        <c:ser>
          <c:idx val="1"/>
          <c:order val="2"/>
          <c:tx>
            <c:strRef>
              <c:f>'Ratio Analysis'!$B$15</c:f>
              <c:strCache>
                <c:ptCount val="1"/>
                <c:pt idx="0">
                  <c:v>Net Profit Margin</c:v>
                </c:pt>
              </c:strCache>
            </c:strRef>
          </c:tx>
          <c:spPr>
            <a:ln w="28575" cap="rnd">
              <a:solidFill>
                <a:schemeClr val="accent2"/>
              </a:solidFill>
              <a:round/>
            </a:ln>
            <a:effectLst/>
          </c:spPr>
          <c:marker>
            <c:symbol val="none"/>
          </c:marker>
          <c:cat>
            <c:strRef>
              <c:f>'Data Sheet'!$B$128:$K$128</c:f>
              <c:strCache>
                <c:ptCount val="10"/>
                <c:pt idx="0">
                  <c:v> FY 17 </c:v>
                </c:pt>
                <c:pt idx="1">
                  <c:v> FY 18 </c:v>
                </c:pt>
                <c:pt idx="2">
                  <c:v> FY 19 </c:v>
                </c:pt>
                <c:pt idx="3">
                  <c:v> FY 20 </c:v>
                </c:pt>
                <c:pt idx="4">
                  <c:v> FY 21 </c:v>
                </c:pt>
                <c:pt idx="5">
                  <c:v> FY 22 </c:v>
                </c:pt>
                <c:pt idx="6">
                  <c:v> FY 23 </c:v>
                </c:pt>
                <c:pt idx="7">
                  <c:v> FY 24 </c:v>
                </c:pt>
                <c:pt idx="8">
                  <c:v> FY 25 </c:v>
                </c:pt>
                <c:pt idx="9">
                  <c:v> FY 26 </c:v>
                </c:pt>
              </c:strCache>
            </c:strRef>
          </c:cat>
          <c:val>
            <c:numRef>
              <c:f>'Ratio Analysis'!$C$15:$L$15</c:f>
              <c:numCache>
                <c:formatCode>0.00%</c:formatCode>
                <c:ptCount val="10"/>
                <c:pt idx="0">
                  <c:v>0.12876319795724203</c:v>
                </c:pt>
                <c:pt idx="1">
                  <c:v>0.12118778808348515</c:v>
                </c:pt>
                <c:pt idx="2">
                  <c:v>0.11205329693718286</c:v>
                </c:pt>
                <c:pt idx="3">
                  <c:v>0.13384476467313997</c:v>
                </c:pt>
                <c:pt idx="4">
                  <c:v>0.14458252486207437</c:v>
                </c:pt>
                <c:pt idx="5">
                  <c:v>0.10413871829692715</c:v>
                </c:pt>
                <c:pt idx="6">
                  <c:v>0.11906691459407301</c:v>
                </c:pt>
                <c:pt idx="7">
                  <c:v>0.15383213226301479</c:v>
                </c:pt>
                <c:pt idx="8">
                  <c:v>0.10815994516543274</c:v>
                </c:pt>
                <c:pt idx="9">
                  <c:v>0.12155479752717127</c:v>
                </c:pt>
              </c:numCache>
            </c:numRef>
          </c:val>
          <c:smooth val="0"/>
          <c:extLst>
            <c:ext xmlns:c16="http://schemas.microsoft.com/office/drawing/2014/chart" uri="{C3380CC4-5D6E-409C-BE32-E72D297353CC}">
              <c16:uniqueId val="{00000008-386A-43EF-808F-6E669B2FBD6E}"/>
            </c:ext>
          </c:extLst>
        </c:ser>
        <c:ser>
          <c:idx val="3"/>
          <c:order val="3"/>
          <c:tx>
            <c:strRef>
              <c:f>Dashboard!$S$7</c:f>
              <c:strCache>
                <c:ptCount val="1"/>
                <c:pt idx="0">
                  <c:v>ROE</c:v>
                </c:pt>
              </c:strCache>
            </c:strRef>
          </c:tx>
          <c:spPr>
            <a:ln w="28575" cap="rnd">
              <a:solidFill>
                <a:schemeClr val="accent4"/>
              </a:solidFill>
              <a:round/>
            </a:ln>
            <a:effectLst/>
          </c:spPr>
          <c:marker>
            <c:symbol val="none"/>
          </c:marker>
          <c:cat>
            <c:strRef>
              <c:f>'Data Sheet'!$B$128:$K$128</c:f>
              <c:strCache>
                <c:ptCount val="10"/>
                <c:pt idx="0">
                  <c:v> FY 17 </c:v>
                </c:pt>
                <c:pt idx="1">
                  <c:v> FY 18 </c:v>
                </c:pt>
                <c:pt idx="2">
                  <c:v> FY 19 </c:v>
                </c:pt>
                <c:pt idx="3">
                  <c:v> FY 20 </c:v>
                </c:pt>
                <c:pt idx="4">
                  <c:v> FY 21 </c:v>
                </c:pt>
                <c:pt idx="5">
                  <c:v> FY 22 </c:v>
                </c:pt>
                <c:pt idx="6">
                  <c:v> FY 23 </c:v>
                </c:pt>
                <c:pt idx="7">
                  <c:v> FY 24 </c:v>
                </c:pt>
                <c:pt idx="8">
                  <c:v> FY 25 </c:v>
                </c:pt>
                <c:pt idx="9">
                  <c:v> FY 26 </c:v>
                </c:pt>
              </c:strCache>
            </c:strRef>
          </c:cat>
          <c:val>
            <c:numRef>
              <c:f>'Ratio Analysis'!$C$23:$L$23</c:f>
              <c:numCache>
                <c:formatCode>0.00%</c:formatCode>
                <c:ptCount val="10"/>
                <c:pt idx="0">
                  <c:v>0.25505760867135113</c:v>
                </c:pt>
                <c:pt idx="1">
                  <c:v>0.24243451130349589</c:v>
                </c:pt>
                <c:pt idx="2">
                  <c:v>0.22764464577030905</c:v>
                </c:pt>
                <c:pt idx="3">
                  <c:v>0.26704119184692049</c:v>
                </c:pt>
                <c:pt idx="4">
                  <c:v>0.24513656960759125</c:v>
                </c:pt>
                <c:pt idx="5">
                  <c:v>0.21942271546443706</c:v>
                </c:pt>
                <c:pt idx="6">
                  <c:v>0.25677782273016331</c:v>
                </c:pt>
                <c:pt idx="7">
                  <c:v>0.29154968683756666</c:v>
                </c:pt>
                <c:pt idx="8">
                  <c:v>0.18903432559391048</c:v>
                </c:pt>
                <c:pt idx="9">
                  <c:v>0.2023878429260528</c:v>
                </c:pt>
              </c:numCache>
            </c:numRef>
          </c:val>
          <c:smooth val="0"/>
          <c:extLst>
            <c:ext xmlns:c16="http://schemas.microsoft.com/office/drawing/2014/chart" uri="{C3380CC4-5D6E-409C-BE32-E72D297353CC}">
              <c16:uniqueId val="{00000009-386A-43EF-808F-6E669B2FBD6E}"/>
            </c:ext>
          </c:extLst>
        </c:ser>
        <c:dLbls>
          <c:showLegendKey val="0"/>
          <c:showVal val="0"/>
          <c:showCatName val="0"/>
          <c:showSerName val="0"/>
          <c:showPercent val="0"/>
          <c:showBubbleSize val="0"/>
        </c:dLbls>
        <c:smooth val="0"/>
        <c:axId val="542668616"/>
        <c:axId val="542668976"/>
      </c:lineChart>
      <c:catAx>
        <c:axId val="542668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668976"/>
        <c:crosses val="autoZero"/>
        <c:auto val="1"/>
        <c:lblAlgn val="ctr"/>
        <c:lblOffset val="100"/>
        <c:noMultiLvlLbl val="0"/>
      </c:catAx>
      <c:valAx>
        <c:axId val="542668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668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screener.in/company/ASIANPAINT/consolidated/#documents" TargetMode="External"/><Relationship Id="rId13" Type="http://schemas.openxmlformats.org/officeDocument/2006/relationships/image" Target="../media/image7.svg"/><Relationship Id="rId3" Type="http://schemas.openxmlformats.org/officeDocument/2006/relationships/hyperlink" Target="https://www.asianpaints.com/" TargetMode="External"/><Relationship Id="rId7" Type="http://schemas.openxmlformats.org/officeDocument/2006/relationships/image" Target="../media/image3.sv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hyperlink" Target="https://www.asianpaints.com/more/investors.html" TargetMode="External"/><Relationship Id="rId5" Type="http://schemas.openxmlformats.org/officeDocument/2006/relationships/hyperlink" Target="https://www.screener.in/company/ASIANPAINT/consolidated/" TargetMode="External"/><Relationship Id="rId15" Type="http://schemas.openxmlformats.org/officeDocument/2006/relationships/image" Target="../media/image8.jpeg"/><Relationship Id="rId10" Type="http://schemas.openxmlformats.org/officeDocument/2006/relationships/image" Target="../media/image5.svg"/><Relationship Id="rId4" Type="http://schemas.openxmlformats.org/officeDocument/2006/relationships/image" Target="../media/image1.png"/><Relationship Id="rId9" Type="http://schemas.openxmlformats.org/officeDocument/2006/relationships/image" Target="../media/image4.png"/><Relationship Id="rId14" Type="http://schemas.openxmlformats.org/officeDocument/2006/relationships/hyperlink" Target="#Projections!A1"/></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8</xdr:row>
      <xdr:rowOff>0</xdr:rowOff>
    </xdr:from>
    <xdr:to>
      <xdr:col>8</xdr:col>
      <xdr:colOff>304800</xdr:colOff>
      <xdr:row>9</xdr:row>
      <xdr:rowOff>120649</xdr:rowOff>
    </xdr:to>
    <xdr:sp macro="" textlink="">
      <xdr:nvSpPr>
        <xdr:cNvPr id="1026" name="AutoShape 2" descr="Generated image 1">
          <a:extLst>
            <a:ext uri="{FF2B5EF4-FFF2-40B4-BE49-F238E27FC236}">
              <a16:creationId xmlns:a16="http://schemas.microsoft.com/office/drawing/2014/main" id="{8C358FA4-489F-C4C2-E634-D56926BDE109}"/>
            </a:ext>
          </a:extLst>
        </xdr:cNvPr>
        <xdr:cNvSpPr>
          <a:spLocks noChangeAspect="1" noChangeArrowheads="1"/>
        </xdr:cNvSpPr>
      </xdr:nvSpPr>
      <xdr:spPr bwMode="auto">
        <a:xfrm>
          <a:off x="556895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9</xdr:row>
      <xdr:rowOff>120649</xdr:rowOff>
    </xdr:to>
    <xdr:sp macro="" textlink="">
      <xdr:nvSpPr>
        <xdr:cNvPr id="1027" name="AutoShape 3" descr="Generated image 1">
          <a:extLst>
            <a:ext uri="{FF2B5EF4-FFF2-40B4-BE49-F238E27FC236}">
              <a16:creationId xmlns:a16="http://schemas.microsoft.com/office/drawing/2014/main" id="{16E9CB74-1131-5EE0-6C7F-D99F183C17B2}"/>
            </a:ext>
          </a:extLst>
        </xdr:cNvPr>
        <xdr:cNvSpPr>
          <a:spLocks noChangeAspect="1" noChangeArrowheads="1"/>
        </xdr:cNvSpPr>
      </xdr:nvSpPr>
      <xdr:spPr bwMode="auto">
        <a:xfrm>
          <a:off x="556895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146049</xdr:colOff>
      <xdr:row>0</xdr:row>
      <xdr:rowOff>0</xdr:rowOff>
    </xdr:from>
    <xdr:to>
      <xdr:col>16</xdr:col>
      <xdr:colOff>862949</xdr:colOff>
      <xdr:row>6</xdr:row>
      <xdr:rowOff>113974</xdr:rowOff>
    </xdr:to>
    <xdr:sp macro="" textlink="">
      <xdr:nvSpPr>
        <xdr:cNvPr id="7" name="Rectangle 6">
          <a:extLst>
            <a:ext uri="{FF2B5EF4-FFF2-40B4-BE49-F238E27FC236}">
              <a16:creationId xmlns:a16="http://schemas.microsoft.com/office/drawing/2014/main" id="{22D3BA59-921F-753F-EB37-3D6F11959EA5}"/>
            </a:ext>
          </a:extLst>
        </xdr:cNvPr>
        <xdr:cNvSpPr/>
      </xdr:nvSpPr>
      <xdr:spPr>
        <a:xfrm>
          <a:off x="1385811" y="0"/>
          <a:ext cx="11340551" cy="1333577"/>
        </a:xfrm>
        <a:prstGeom prst="rect">
          <a:avLst/>
        </a:prstGeom>
        <a:solidFill>
          <a:schemeClr val="accent1">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chemeClr val="bg1"/>
            </a:solidFill>
            <a:effectLst/>
            <a:latin typeface="+mn-lt"/>
            <a:ea typeface="+mn-ea"/>
            <a:cs typeface="+mn-cs"/>
          </a:endParaRPr>
        </a:p>
        <a:p>
          <a:pPr algn="l"/>
          <a:endParaRPr lang="en-US" sz="1100" b="0" i="0" u="none" strike="noStrike">
            <a:solidFill>
              <a:schemeClr val="bg1"/>
            </a:solidFill>
            <a:effectLst/>
            <a:latin typeface="+mn-lt"/>
            <a:ea typeface="+mn-ea"/>
            <a:cs typeface="+mn-cs"/>
          </a:endParaRPr>
        </a:p>
        <a:p>
          <a:pPr algn="l"/>
          <a:endParaRPr lang="en-US" sz="1100" b="0" i="0" u="none" strike="noStrike">
            <a:solidFill>
              <a:schemeClr val="accent4">
                <a:lumMod val="60000"/>
                <a:lumOff val="40000"/>
              </a:schemeClr>
            </a:solidFill>
            <a:effectLst/>
            <a:latin typeface="+mn-lt"/>
            <a:ea typeface="+mn-ea"/>
            <a:cs typeface="+mn-cs"/>
          </a:endParaRPr>
        </a:p>
        <a:p>
          <a:pPr algn="l"/>
          <a:endParaRPr lang="en-US" sz="1100" b="0" i="0" u="none" strike="noStrike">
            <a:solidFill>
              <a:schemeClr val="accent4">
                <a:lumMod val="60000"/>
                <a:lumOff val="40000"/>
              </a:schemeClr>
            </a:solidFill>
            <a:effectLst/>
            <a:latin typeface="+mn-lt"/>
            <a:ea typeface="+mn-ea"/>
            <a:cs typeface="+mn-cs"/>
          </a:endParaRPr>
        </a:p>
        <a:p>
          <a:pPr algn="l"/>
          <a:endParaRPr lang="en-US" sz="1100" b="0" i="0" u="none" strike="noStrike">
            <a:solidFill>
              <a:schemeClr val="accent4">
                <a:lumMod val="60000"/>
                <a:lumOff val="40000"/>
              </a:schemeClr>
            </a:solidFill>
            <a:effectLst/>
            <a:latin typeface="+mn-lt"/>
            <a:ea typeface="+mn-ea"/>
            <a:cs typeface="+mn-cs"/>
          </a:endParaRPr>
        </a:p>
        <a:p>
          <a:pPr algn="l"/>
          <a:r>
            <a:rPr lang="en-US" sz="1100" b="1" i="0" u="none" strike="noStrike">
              <a:solidFill>
                <a:schemeClr val="accent4">
                  <a:lumMod val="60000"/>
                  <a:lumOff val="40000"/>
                </a:schemeClr>
              </a:solidFill>
              <a:effectLst/>
              <a:latin typeface="+mn-lt"/>
              <a:ea typeface="+mn-ea"/>
              <a:cs typeface="+mn-cs"/>
            </a:rPr>
            <a:t>CM ₹2,312    |     Market Cap ₹2,21,925 Cr     |     P/E (LTM) 45.5x</a:t>
          </a:r>
          <a:r>
            <a:rPr lang="en-US" b="1">
              <a:solidFill>
                <a:schemeClr val="accent4">
                  <a:lumMod val="60000"/>
                  <a:lumOff val="40000"/>
                </a:schemeClr>
              </a:solidFill>
              <a:effectLst/>
            </a:rPr>
            <a:t>    |     P/E (FY26): 47.75x     |     P/B: 10.34x     |     Dividend yield: 1.16% (DPS ₹27.50)</a:t>
          </a:r>
        </a:p>
        <a:p>
          <a:pPr algn="l"/>
          <a:endParaRPr lang="en-US" sz="1100" b="0" i="0" u="none" strike="noStrike">
            <a:solidFill>
              <a:sysClr val="windowText" lastClr="000000"/>
            </a:solidFill>
            <a:effectLst/>
            <a:latin typeface="+mn-lt"/>
            <a:ea typeface="+mn-ea"/>
            <a:cs typeface="+mn-cs"/>
          </a:endParaRPr>
        </a:p>
        <a:p>
          <a:pPr algn="l"/>
          <a:endParaRPr lang="en-US" sz="1100" b="0" i="0" u="none" strike="noStrike">
            <a:solidFill>
              <a:sysClr val="windowText" lastClr="000000"/>
            </a:solidFill>
            <a:effectLst/>
            <a:latin typeface="+mn-lt"/>
            <a:ea typeface="+mn-ea"/>
            <a:cs typeface="+mn-cs"/>
          </a:endParaRPr>
        </a:p>
      </xdr:txBody>
    </xdr:sp>
    <xdr:clientData/>
  </xdr:twoCellAnchor>
  <xdr:twoCellAnchor>
    <xdr:from>
      <xdr:col>7</xdr:col>
      <xdr:colOff>229968</xdr:colOff>
      <xdr:row>7</xdr:row>
      <xdr:rowOff>80635</xdr:rowOff>
    </xdr:from>
    <xdr:to>
      <xdr:col>12</xdr:col>
      <xdr:colOff>161269</xdr:colOff>
      <xdr:row>14</xdr:row>
      <xdr:rowOff>8142</xdr:rowOff>
    </xdr:to>
    <xdr:sp macro="" textlink="">
      <xdr:nvSpPr>
        <xdr:cNvPr id="12" name="Rectangle 11">
          <a:extLst>
            <a:ext uri="{FF2B5EF4-FFF2-40B4-BE49-F238E27FC236}">
              <a16:creationId xmlns:a16="http://schemas.microsoft.com/office/drawing/2014/main" id="{D905B3D0-C399-840F-EF8C-62915D6F2495}"/>
            </a:ext>
          </a:extLst>
        </xdr:cNvPr>
        <xdr:cNvSpPr/>
      </xdr:nvSpPr>
      <xdr:spPr>
        <a:xfrm>
          <a:off x="5158778" y="1350635"/>
          <a:ext cx="3438920" cy="1197507"/>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EBITDA  |  FY26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7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8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a:solidFill>
                <a:schemeClr val="tx1"/>
              </a:solidFill>
              <a:latin typeface="+mn-lt"/>
              <a:ea typeface="+mn-ea"/>
              <a:cs typeface="+mn-cs"/>
            </a:rPr>
            <a:t>Margin         </a:t>
          </a:r>
          <a:r>
            <a:rPr lang="en-US" sz="1200" baseline="0">
              <a:solidFill>
                <a:schemeClr val="tx1"/>
              </a:solidFill>
              <a:latin typeface="+mn-lt"/>
              <a:ea typeface="+mn-ea"/>
              <a:cs typeface="+mn-cs"/>
            </a:rPr>
            <a:t>    </a:t>
          </a:r>
          <a:r>
            <a:rPr lang="en-US" sz="1200">
              <a:solidFill>
                <a:schemeClr val="tx1"/>
              </a:solidFill>
              <a:latin typeface="+mn-lt"/>
              <a:ea typeface="+mn-ea"/>
              <a:cs typeface="+mn-cs"/>
            </a:rPr>
            <a:t>  | hist. avg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accent2">
                  <a:lumMod val="75000"/>
                </a:schemeClr>
              </a:solidFill>
              <a:latin typeface="+mn-lt"/>
              <a:ea typeface="+mn-ea"/>
              <a:cs typeface="+mn-cs"/>
            </a:rPr>
            <a:t>FY27E: ₹  </a:t>
          </a:r>
          <a:r>
            <a:rPr lang="en-US" sz="1200" b="1" baseline="0">
              <a:solidFill>
                <a:schemeClr val="accent2">
                  <a:lumMod val="75000"/>
                </a:schemeClr>
              </a:solidFill>
              <a:latin typeface="+mn-lt"/>
              <a:ea typeface="+mn-ea"/>
              <a:cs typeface="+mn-cs"/>
            </a:rPr>
            <a:t>       </a:t>
          </a:r>
          <a:r>
            <a:rPr lang="en-US" sz="1200" b="1">
              <a:solidFill>
                <a:schemeClr val="accent2">
                  <a:lumMod val="75000"/>
                </a:schemeClr>
              </a:solidFill>
              <a:latin typeface="+mn-lt"/>
              <a:ea typeface="+mn-ea"/>
              <a:cs typeface="+mn-cs"/>
            </a:rPr>
            <a:t>     Cr</a:t>
          </a:r>
          <a:r>
            <a:rPr lang="en-US" sz="1200" b="1">
              <a:solidFill>
                <a:schemeClr val="accent6">
                  <a:lumMod val="50000"/>
                </a:schemeClr>
              </a:solidFill>
              <a:latin typeface="+mn-lt"/>
              <a:ea typeface="+mn-ea"/>
              <a:cs typeface="+mn-cs"/>
            </a:rPr>
            <a:t> </a:t>
          </a:r>
        </a:p>
        <a:p>
          <a:pPr algn="l"/>
          <a:endParaRPr lang="en-US" sz="1100">
            <a:solidFill>
              <a:schemeClr val="tx1"/>
            </a:solidFill>
          </a:endParaRPr>
        </a:p>
      </xdr:txBody>
    </xdr:sp>
    <xdr:clientData/>
  </xdr:twoCellAnchor>
  <xdr:twoCellAnchor>
    <xdr:from>
      <xdr:col>12</xdr:col>
      <xdr:colOff>413254</xdr:colOff>
      <xdr:row>7</xdr:row>
      <xdr:rowOff>71329</xdr:rowOff>
    </xdr:from>
    <xdr:to>
      <xdr:col>16</xdr:col>
      <xdr:colOff>844729</xdr:colOff>
      <xdr:row>14</xdr:row>
      <xdr:rowOff>40316</xdr:rowOff>
    </xdr:to>
    <xdr:sp macro="" textlink="">
      <xdr:nvSpPr>
        <xdr:cNvPr id="13" name="Rectangle 12">
          <a:extLst>
            <a:ext uri="{FF2B5EF4-FFF2-40B4-BE49-F238E27FC236}">
              <a16:creationId xmlns:a16="http://schemas.microsoft.com/office/drawing/2014/main" id="{AA9DC22C-738D-1DF6-DFDA-C5785909162E}"/>
            </a:ext>
          </a:extLst>
        </xdr:cNvPr>
        <xdr:cNvSpPr/>
      </xdr:nvSpPr>
      <xdr:spPr>
        <a:xfrm>
          <a:off x="8849683" y="1472361"/>
          <a:ext cx="3858459" cy="128938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i="0" u="none" strike="noStrike">
              <a:solidFill>
                <a:sysClr val="windowText" lastClr="000000"/>
              </a:solidFill>
              <a:effectLst/>
              <a:latin typeface="+mn-lt"/>
              <a:ea typeface="+mn-ea"/>
              <a:cs typeface="+mn-cs"/>
            </a:rPr>
            <a:t>NET PROFIT  |  FY26 </a:t>
          </a:r>
        </a:p>
        <a:p>
          <a:endParaRPr lang="en-US" sz="700" b="0" i="0" u="none" strike="noStrike">
            <a:solidFill>
              <a:sysClr val="windowText" lastClr="000000"/>
            </a:solidFill>
            <a:effectLst/>
            <a:latin typeface="+mn-lt"/>
            <a:ea typeface="+mn-ea"/>
            <a:cs typeface="+mn-cs"/>
          </a:endParaRPr>
        </a:p>
        <a:p>
          <a:r>
            <a:rPr lang="en-US" sz="1800" b="0" i="0" u="none" strike="noStrike">
              <a:solidFill>
                <a:sysClr val="windowText" lastClr="000000"/>
              </a:solidFill>
              <a:effectLst/>
              <a:latin typeface="+mn-lt"/>
              <a:ea typeface="+mn-ea"/>
              <a:cs typeface="+mn-cs"/>
            </a:rPr>
            <a:t> </a:t>
          </a:r>
        </a:p>
        <a:p>
          <a:endParaRPr lang="en-US" sz="1100" b="0" i="0" u="none" strike="noStrike">
            <a:solidFill>
              <a:sysClr val="windowText" lastClr="000000"/>
            </a:solidFill>
            <a:effectLst/>
            <a:latin typeface="+mn-lt"/>
            <a:ea typeface="+mn-ea"/>
            <a:cs typeface="+mn-cs"/>
          </a:endParaRPr>
        </a:p>
        <a:p>
          <a:r>
            <a:rPr lang="en-US" sz="1200" b="0" i="0" u="none" strike="noStrike">
              <a:solidFill>
                <a:sysClr val="windowText" lastClr="000000"/>
              </a:solidFill>
              <a:effectLst/>
              <a:latin typeface="+mn-lt"/>
              <a:ea typeface="+mn-ea"/>
              <a:cs typeface="+mn-cs"/>
            </a:rPr>
            <a:t>EPS </a:t>
          </a:r>
          <a:r>
            <a:rPr lang="en-US" sz="1200" b="0" i="0" u="none" strike="noStrike" baseline="0">
              <a:solidFill>
                <a:sysClr val="windowText" lastClr="000000"/>
              </a:solidFill>
              <a:effectLst/>
              <a:latin typeface="+mn-lt"/>
              <a:ea typeface="+mn-ea"/>
              <a:cs typeface="+mn-cs"/>
            </a:rPr>
            <a:t>         </a:t>
          </a:r>
          <a:r>
            <a:rPr lang="en-US" sz="1200" b="0" i="0" u="none" strike="noStrike">
              <a:solidFill>
                <a:sysClr val="windowText" lastClr="000000"/>
              </a:solidFill>
              <a:effectLst/>
              <a:latin typeface="+mn-lt"/>
              <a:ea typeface="+mn-ea"/>
              <a:cs typeface="+mn-cs"/>
            </a:rPr>
            <a:t>   |   Net margin </a:t>
          </a:r>
        </a:p>
        <a:p>
          <a:r>
            <a:rPr lang="en-US" sz="1200" b="1" i="0" u="none" strike="noStrike">
              <a:solidFill>
                <a:schemeClr val="accent2">
                  <a:lumMod val="75000"/>
                </a:schemeClr>
              </a:solidFill>
              <a:effectLst/>
              <a:latin typeface="+mn-lt"/>
              <a:ea typeface="+mn-ea"/>
              <a:cs typeface="+mn-cs"/>
            </a:rPr>
            <a:t>LTM:</a:t>
          </a:r>
          <a:r>
            <a:rPr lang="en-US" sz="1200" b="1" i="0" u="none" strike="noStrike" baseline="0">
              <a:solidFill>
                <a:schemeClr val="accent2">
                  <a:lumMod val="75000"/>
                </a:schemeClr>
              </a:solidFill>
              <a:effectLst/>
              <a:latin typeface="+mn-lt"/>
              <a:ea typeface="+mn-ea"/>
              <a:cs typeface="+mn-cs"/>
            </a:rPr>
            <a:t>                 </a:t>
          </a:r>
          <a:r>
            <a:rPr lang="en-US" sz="1200" b="1" i="0" u="none" strike="noStrike">
              <a:solidFill>
                <a:schemeClr val="accent2">
                  <a:lumMod val="75000"/>
                </a:schemeClr>
              </a:solidFill>
              <a:effectLst/>
              <a:latin typeface="+mn-lt"/>
              <a:ea typeface="+mn-ea"/>
              <a:cs typeface="+mn-cs"/>
            </a:rPr>
            <a:t>Cr   |   LTM EPS </a:t>
          </a:r>
          <a:endParaRPr lang="en-US" sz="1200" b="1">
            <a:solidFill>
              <a:schemeClr val="accent2">
                <a:lumMod val="75000"/>
              </a:schemeClr>
            </a:solidFill>
          </a:endParaRPr>
        </a:p>
      </xdr:txBody>
    </xdr:sp>
    <xdr:clientData/>
  </xdr:twoCellAnchor>
  <xdr:twoCellAnchor>
    <xdr:from>
      <xdr:col>1</xdr:col>
      <xdr:colOff>164840</xdr:colOff>
      <xdr:row>7</xdr:row>
      <xdr:rowOff>81408</xdr:rowOff>
    </xdr:from>
    <xdr:to>
      <xdr:col>6</xdr:col>
      <xdr:colOff>545448</xdr:colOff>
      <xdr:row>14</xdr:row>
      <xdr:rowOff>8140</xdr:rowOff>
    </xdr:to>
    <xdr:sp macro="" textlink="">
      <xdr:nvSpPr>
        <xdr:cNvPr id="11" name="Rectangle 10">
          <a:extLst>
            <a:ext uri="{FF2B5EF4-FFF2-40B4-BE49-F238E27FC236}">
              <a16:creationId xmlns:a16="http://schemas.microsoft.com/office/drawing/2014/main" id="{D2976A7E-43F4-5BC4-8C58-E5F69C55B784}"/>
            </a:ext>
          </a:extLst>
        </xdr:cNvPr>
        <xdr:cNvSpPr/>
      </xdr:nvSpPr>
      <xdr:spPr>
        <a:xfrm>
          <a:off x="1402276" y="1392113"/>
          <a:ext cx="3466057" cy="1237437"/>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SALES  |  FY26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7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600">
            <a:solidFill>
              <a:schemeClr val="tx1"/>
            </a:solidFill>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a:solidFill>
                <a:schemeClr val="tx1"/>
              </a:solidFill>
              <a:latin typeface="+mn-lt"/>
              <a:ea typeface="+mn-ea"/>
              <a:cs typeface="+mn-cs"/>
            </a:rPr>
            <a:t>YoY +</a:t>
          </a:r>
          <a:r>
            <a:rPr lang="en-US" sz="1200" baseline="0">
              <a:solidFill>
                <a:schemeClr val="tx1"/>
              </a:solidFill>
              <a:latin typeface="+mn-lt"/>
              <a:ea typeface="+mn-ea"/>
              <a:cs typeface="+mn-cs"/>
            </a:rPr>
            <a:t>          </a:t>
          </a:r>
          <a:r>
            <a:rPr lang="en-US" sz="1200">
              <a:solidFill>
                <a:schemeClr val="tx1"/>
              </a:solidFill>
              <a:latin typeface="+mn-lt"/>
              <a:ea typeface="+mn-ea"/>
              <a:cs typeface="+mn-cs"/>
            </a:rPr>
            <a:t>   |   hist. avg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accent2">
                  <a:lumMod val="75000"/>
                </a:schemeClr>
              </a:solidFill>
              <a:latin typeface="+mn-lt"/>
              <a:ea typeface="+mn-ea"/>
              <a:cs typeface="+mn-cs"/>
            </a:rPr>
            <a:t>FY27E: ₹                 (+             )</a:t>
          </a:r>
        </a:p>
        <a:p>
          <a:pPr algn="l"/>
          <a:endParaRPr lang="en-US" sz="1100">
            <a:solidFill>
              <a:schemeClr val="tx1"/>
            </a:solidFill>
          </a:endParaRPr>
        </a:p>
      </xdr:txBody>
    </xdr:sp>
    <xdr:clientData/>
  </xdr:twoCellAnchor>
  <xdr:oneCellAnchor>
    <xdr:from>
      <xdr:col>1</xdr:col>
      <xdr:colOff>140499</xdr:colOff>
      <xdr:row>8</xdr:row>
      <xdr:rowOff>170959</xdr:rowOff>
    </xdr:from>
    <xdr:ext cx="1438279" cy="468013"/>
    <xdr:sp macro="" textlink="'Historical FS'!L5">
      <xdr:nvSpPr>
        <xdr:cNvPr id="17" name="TextBox 16">
          <a:extLst>
            <a:ext uri="{FF2B5EF4-FFF2-40B4-BE49-F238E27FC236}">
              <a16:creationId xmlns:a16="http://schemas.microsoft.com/office/drawing/2014/main" id="{E3D7212E-3CC4-9637-AB37-1C6B2B1359C8}"/>
            </a:ext>
          </a:extLst>
        </xdr:cNvPr>
        <xdr:cNvSpPr txBox="1"/>
      </xdr:nvSpPr>
      <xdr:spPr>
        <a:xfrm>
          <a:off x="1379773" y="1778943"/>
          <a:ext cx="14382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F25C6E-CDB7-41B7-9C2D-9F4970E6E0AB}" type="TxLink">
            <a:rPr lang="en-US" sz="2400" b="1" i="0" u="none" strike="noStrike">
              <a:solidFill>
                <a:srgbClr val="002060"/>
              </a:solidFill>
              <a:latin typeface="Calibri"/>
              <a:ea typeface="Calibri"/>
              <a:cs typeface="Calibri"/>
            </a:rPr>
            <a:pPr/>
            <a:t>₹35,583.5</a:t>
          </a:fld>
          <a:endParaRPr lang="en-US" sz="4000" b="1">
            <a:solidFill>
              <a:srgbClr val="002060"/>
            </a:solidFill>
          </a:endParaRPr>
        </a:p>
      </xdr:txBody>
    </xdr:sp>
    <xdr:clientData/>
  </xdr:oneCellAnchor>
  <xdr:oneCellAnchor>
    <xdr:from>
      <xdr:col>7</xdr:col>
      <xdr:colOff>236087</xdr:colOff>
      <xdr:row>9</xdr:row>
      <xdr:rowOff>16282</xdr:rowOff>
    </xdr:from>
    <xdr:ext cx="1282274" cy="468013"/>
    <xdr:sp macro="" textlink="'Historical FS'!L17">
      <xdr:nvSpPr>
        <xdr:cNvPr id="18" name="TextBox 17">
          <a:extLst>
            <a:ext uri="{FF2B5EF4-FFF2-40B4-BE49-F238E27FC236}">
              <a16:creationId xmlns:a16="http://schemas.microsoft.com/office/drawing/2014/main" id="{D3FA79D3-1AAB-8F92-858C-1A00566994B3}"/>
            </a:ext>
          </a:extLst>
        </xdr:cNvPr>
        <xdr:cNvSpPr txBox="1"/>
      </xdr:nvSpPr>
      <xdr:spPr>
        <a:xfrm>
          <a:off x="5177690" y="1701474"/>
          <a:ext cx="12822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139F5FF-AD53-481E-B67E-EDD0AE93D3C0}" type="TxLink">
            <a:rPr lang="en-US" sz="2400" b="1" i="0" u="none" strike="noStrike">
              <a:solidFill>
                <a:srgbClr val="002060"/>
              </a:solidFill>
              <a:latin typeface="Calibri"/>
              <a:ea typeface="Calibri"/>
              <a:cs typeface="Calibri"/>
            </a:rPr>
            <a:pPr/>
            <a:t>₹6,699.7</a:t>
          </a:fld>
          <a:endParaRPr lang="en-US" sz="6000" b="1">
            <a:solidFill>
              <a:srgbClr val="002060"/>
            </a:solidFill>
          </a:endParaRPr>
        </a:p>
      </xdr:txBody>
    </xdr:sp>
    <xdr:clientData/>
  </xdr:oneCellAnchor>
  <xdr:oneCellAnchor>
    <xdr:from>
      <xdr:col>12</xdr:col>
      <xdr:colOff>408995</xdr:colOff>
      <xdr:row>8</xdr:row>
      <xdr:rowOff>169023</xdr:rowOff>
    </xdr:from>
    <xdr:ext cx="1282274" cy="468013"/>
    <xdr:sp macro="" textlink="'Historical FS'!L39">
      <xdr:nvSpPr>
        <xdr:cNvPr id="19" name="TextBox 18">
          <a:extLst>
            <a:ext uri="{FF2B5EF4-FFF2-40B4-BE49-F238E27FC236}">
              <a16:creationId xmlns:a16="http://schemas.microsoft.com/office/drawing/2014/main" id="{ECDA7177-3A5B-12B2-7A4A-0E0D29A06FC7}"/>
            </a:ext>
          </a:extLst>
        </xdr:cNvPr>
        <xdr:cNvSpPr txBox="1"/>
      </xdr:nvSpPr>
      <xdr:spPr>
        <a:xfrm>
          <a:off x="8845424" y="1620452"/>
          <a:ext cx="12822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121B717-D611-4E5E-888B-1F3DF0BDB94D}" type="TxLink">
            <a:rPr lang="en-US" sz="2400" b="1" i="0" u="none" strike="noStrike">
              <a:solidFill>
                <a:srgbClr val="002060"/>
              </a:solidFill>
              <a:latin typeface="Calibri"/>
              <a:ea typeface="Calibri"/>
              <a:cs typeface="Calibri"/>
            </a:rPr>
            <a:pPr/>
            <a:t>₹4,325.4</a:t>
          </a:fld>
          <a:endParaRPr lang="en-US" sz="6000" b="1">
            <a:solidFill>
              <a:srgbClr val="002060"/>
            </a:solidFill>
          </a:endParaRPr>
        </a:p>
      </xdr:txBody>
    </xdr:sp>
    <xdr:clientData/>
  </xdr:oneCellAnchor>
  <xdr:twoCellAnchor>
    <xdr:from>
      <xdr:col>1</xdr:col>
      <xdr:colOff>144095</xdr:colOff>
      <xdr:row>14</xdr:row>
      <xdr:rowOff>130420</xdr:rowOff>
    </xdr:from>
    <xdr:to>
      <xdr:col>10</xdr:col>
      <xdr:colOff>480320</xdr:colOff>
      <xdr:row>30</xdr:row>
      <xdr:rowOff>179103</xdr:rowOff>
    </xdr:to>
    <xdr:graphicFrame macro="">
      <xdr:nvGraphicFramePr>
        <xdr:cNvPr id="25" name="Chart 24">
          <a:extLst>
            <a:ext uri="{FF2B5EF4-FFF2-40B4-BE49-F238E27FC236}">
              <a16:creationId xmlns:a16="http://schemas.microsoft.com/office/drawing/2014/main" id="{A37CA484-83FB-621F-6E43-EAE5F8D98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4884</xdr:colOff>
      <xdr:row>13</xdr:row>
      <xdr:rowOff>0</xdr:rowOff>
    </xdr:from>
    <xdr:to>
      <xdr:col>22</xdr:col>
      <xdr:colOff>605691</xdr:colOff>
      <xdr:row>31</xdr:row>
      <xdr:rowOff>39077</xdr:rowOff>
    </xdr:to>
    <xdr:graphicFrame macro="">
      <xdr:nvGraphicFramePr>
        <xdr:cNvPr id="5" name="Chart 4">
          <a:extLst>
            <a:ext uri="{FF2B5EF4-FFF2-40B4-BE49-F238E27FC236}">
              <a16:creationId xmlns:a16="http://schemas.microsoft.com/office/drawing/2014/main" id="{94973B01-1FE3-B557-560A-3D6C7AA99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151191</xdr:colOff>
      <xdr:row>2</xdr:row>
      <xdr:rowOff>50395</xdr:rowOff>
    </xdr:from>
    <xdr:ext cx="7068986" cy="206821"/>
    <xdr:sp macro="" textlink="">
      <xdr:nvSpPr>
        <xdr:cNvPr id="3" name="TextBox 2">
          <a:extLst>
            <a:ext uri="{FF2B5EF4-FFF2-40B4-BE49-F238E27FC236}">
              <a16:creationId xmlns:a16="http://schemas.microsoft.com/office/drawing/2014/main" id="{284A640F-6727-7DC9-A01D-6614A64352F7}"/>
            </a:ext>
          </a:extLst>
        </xdr:cNvPr>
        <xdr:cNvSpPr txBox="1"/>
      </xdr:nvSpPr>
      <xdr:spPr>
        <a:xfrm>
          <a:off x="1389039" y="548749"/>
          <a:ext cx="7068986" cy="206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i="0">
              <a:solidFill>
                <a:schemeClr val="bg1"/>
              </a:solidFill>
              <a:effectLst/>
              <a:latin typeface="+mn-lt"/>
              <a:ea typeface="+mn-ea"/>
              <a:cs typeface="+mn-cs"/>
            </a:rPr>
            <a:t>Figures in ₹ Cr unless stated   |   Actuals FY17–FY26, forecast FY27E–FY32E   |   Source: Company financials (Data Sheet)</a:t>
          </a:r>
        </a:p>
        <a:p>
          <a:r>
            <a:rPr lang="en-US" sz="1100" b="0" i="0">
              <a:solidFill>
                <a:schemeClr val="bg1"/>
              </a:solidFill>
              <a:effectLst/>
              <a:latin typeface="+mn-lt"/>
              <a:ea typeface="+mn-ea"/>
              <a:cs typeface="+mn-cs"/>
            </a:rPr>
            <a:t> </a:t>
          </a:r>
          <a:endParaRPr lang="en-US">
            <a:solidFill>
              <a:schemeClr val="bg1"/>
            </a:solidFill>
            <a:effectLst/>
          </a:endParaRPr>
        </a:p>
      </xdr:txBody>
    </xdr:sp>
    <xdr:clientData/>
  </xdr:oneCellAnchor>
  <xdr:oneCellAnchor>
    <xdr:from>
      <xdr:col>1</xdr:col>
      <xdr:colOff>120953</xdr:colOff>
      <xdr:row>0</xdr:row>
      <xdr:rowOff>40317</xdr:rowOff>
    </xdr:from>
    <xdr:ext cx="6892528" cy="468013"/>
    <xdr:sp macro="" textlink="$C$1">
      <xdr:nvSpPr>
        <xdr:cNvPr id="8" name="TextBox 7">
          <a:extLst>
            <a:ext uri="{FF2B5EF4-FFF2-40B4-BE49-F238E27FC236}">
              <a16:creationId xmlns:a16="http://schemas.microsoft.com/office/drawing/2014/main" id="{CB6346B3-41D7-337C-30C4-8E1E8C655EB1}"/>
            </a:ext>
          </a:extLst>
        </xdr:cNvPr>
        <xdr:cNvSpPr txBox="1"/>
      </xdr:nvSpPr>
      <xdr:spPr>
        <a:xfrm>
          <a:off x="1360715" y="40317"/>
          <a:ext cx="689252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ACAA82C-38B2-4557-A401-325E9C01D7D7}" type="TxLink">
            <a:rPr lang="en-US" sz="2400" b="1" i="0" u="none" strike="noStrike">
              <a:solidFill>
                <a:schemeClr val="bg1"/>
              </a:solidFill>
              <a:latin typeface="Calibri"/>
              <a:ea typeface="Calibri"/>
              <a:cs typeface="Calibri"/>
            </a:rPr>
            <a:pPr/>
            <a:t>ASIAN PAINTS LTD - FINANCIAL MODEL DASHBOARD</a:t>
          </a:fld>
          <a:endParaRPr lang="en-US" sz="2400" b="1">
            <a:solidFill>
              <a:schemeClr val="bg1"/>
            </a:solidFill>
          </a:endParaRPr>
        </a:p>
      </xdr:txBody>
    </xdr:sp>
    <xdr:clientData/>
  </xdr:oneCellAnchor>
  <xdr:oneCellAnchor>
    <xdr:from>
      <xdr:col>2</xdr:col>
      <xdr:colOff>191507</xdr:colOff>
      <xdr:row>11</xdr:row>
      <xdr:rowOff>58563</xdr:rowOff>
    </xdr:from>
    <xdr:ext cx="539700" cy="264560"/>
    <xdr:sp macro="" textlink="'Historical FS'!L6">
      <xdr:nvSpPr>
        <xdr:cNvPr id="16" name="TextBox 15">
          <a:extLst>
            <a:ext uri="{FF2B5EF4-FFF2-40B4-BE49-F238E27FC236}">
              <a16:creationId xmlns:a16="http://schemas.microsoft.com/office/drawing/2014/main" id="{BA307C77-3164-1CE2-33A8-BC4FE12E0A39}"/>
            </a:ext>
          </a:extLst>
        </xdr:cNvPr>
        <xdr:cNvSpPr txBox="1"/>
      </xdr:nvSpPr>
      <xdr:spPr>
        <a:xfrm>
          <a:off x="1766950" y="2220778"/>
          <a:ext cx="539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C894B8-E229-4E51-A1AA-EC77D0132D8E}" type="TxLink">
            <a:rPr lang="en-US" sz="1100" b="1" i="0" u="none" strike="noStrike">
              <a:solidFill>
                <a:sysClr val="windowText" lastClr="000000"/>
              </a:solidFill>
              <a:latin typeface="Calibri"/>
              <a:ea typeface="Calibri"/>
              <a:cs typeface="Calibri"/>
            </a:rPr>
            <a:pPr/>
            <a:t>4.95%</a:t>
          </a:fld>
          <a:endParaRPr lang="en-US" sz="1100" b="1">
            <a:solidFill>
              <a:sysClr val="windowText" lastClr="000000"/>
            </a:solidFill>
          </a:endParaRPr>
        </a:p>
      </xdr:txBody>
    </xdr:sp>
    <xdr:clientData/>
  </xdr:oneCellAnchor>
  <xdr:oneCellAnchor>
    <xdr:from>
      <xdr:col>13</xdr:col>
      <xdr:colOff>201587</xdr:colOff>
      <xdr:row>2</xdr:row>
      <xdr:rowOff>80635</xdr:rowOff>
    </xdr:from>
    <xdr:ext cx="184731" cy="264560"/>
    <xdr:sp macro="" textlink="">
      <xdr:nvSpPr>
        <xdr:cNvPr id="20" name="TextBox 19">
          <a:extLst>
            <a:ext uri="{FF2B5EF4-FFF2-40B4-BE49-F238E27FC236}">
              <a16:creationId xmlns:a16="http://schemas.microsoft.com/office/drawing/2014/main" id="{EBA4D180-13F4-FA37-1101-D6B8AE62CF6B}"/>
            </a:ext>
          </a:extLst>
        </xdr:cNvPr>
        <xdr:cNvSpPr txBox="1"/>
      </xdr:nvSpPr>
      <xdr:spPr>
        <a:xfrm>
          <a:off x="9504841" y="57452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1344621</xdr:colOff>
      <xdr:row>11</xdr:row>
      <xdr:rowOff>66600</xdr:rowOff>
    </xdr:from>
    <xdr:ext cx="535596" cy="264560"/>
    <xdr:sp macro="" textlink="'Ratio Analysis'!O5">
      <xdr:nvSpPr>
        <xdr:cNvPr id="21" name="TextBox 20">
          <a:extLst>
            <a:ext uri="{FF2B5EF4-FFF2-40B4-BE49-F238E27FC236}">
              <a16:creationId xmlns:a16="http://schemas.microsoft.com/office/drawing/2014/main" id="{9ED188D6-57E9-0393-5761-35BFAAD96393}"/>
            </a:ext>
          </a:extLst>
        </xdr:cNvPr>
        <xdr:cNvSpPr txBox="1"/>
      </xdr:nvSpPr>
      <xdr:spPr>
        <a:xfrm>
          <a:off x="2921879" y="2227648"/>
          <a:ext cx="5355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675E199-20D4-4D8D-9955-CCA06BE129FA}" type="TxLink">
            <a:rPr lang="en-US" sz="1100" b="1" i="0" u="none" strike="noStrike">
              <a:solidFill>
                <a:srgbClr val="000000"/>
              </a:solidFill>
              <a:latin typeface="Calibri"/>
              <a:ea typeface="Calibri"/>
              <a:cs typeface="Calibri"/>
            </a:rPr>
            <a:pPr/>
            <a:t>7.43%</a:t>
          </a:fld>
          <a:endParaRPr lang="en-US" sz="1100" b="1">
            <a:solidFill>
              <a:sysClr val="windowText" lastClr="000000"/>
            </a:solidFill>
          </a:endParaRPr>
        </a:p>
      </xdr:txBody>
    </xdr:sp>
    <xdr:clientData/>
  </xdr:oneCellAnchor>
  <xdr:oneCellAnchor>
    <xdr:from>
      <xdr:col>2</xdr:col>
      <xdr:colOff>380975</xdr:colOff>
      <xdr:row>12</xdr:row>
      <xdr:rowOff>68640</xdr:rowOff>
    </xdr:from>
    <xdr:ext cx="687689" cy="264560"/>
    <xdr:sp macro="" textlink="Projections!M6">
      <xdr:nvSpPr>
        <xdr:cNvPr id="22" name="TextBox 21">
          <a:extLst>
            <a:ext uri="{FF2B5EF4-FFF2-40B4-BE49-F238E27FC236}">
              <a16:creationId xmlns:a16="http://schemas.microsoft.com/office/drawing/2014/main" id="{627DAF8C-7608-9F8A-0F0A-25B2FF130355}"/>
            </a:ext>
          </a:extLst>
        </xdr:cNvPr>
        <xdr:cNvSpPr txBox="1"/>
      </xdr:nvSpPr>
      <xdr:spPr>
        <a:xfrm>
          <a:off x="1956418" y="2415729"/>
          <a:ext cx="6876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4FA3D30-E1AF-4963-B4D1-D606FAACBD30}" type="TxLink">
            <a:rPr lang="en-US" sz="1100" b="1" i="0" u="none" strike="noStrike">
              <a:solidFill>
                <a:srgbClr val="AC3004"/>
              </a:solidFill>
              <a:latin typeface="Calibri"/>
              <a:ea typeface="Calibri"/>
              <a:cs typeface="Calibri"/>
            </a:rPr>
            <a:pPr/>
            <a:t>39,318.5</a:t>
          </a:fld>
          <a:endParaRPr lang="en-US" sz="1100" b="1">
            <a:solidFill>
              <a:srgbClr val="AC3004"/>
            </a:solidFill>
          </a:endParaRPr>
        </a:p>
      </xdr:txBody>
    </xdr:sp>
    <xdr:clientData/>
  </xdr:oneCellAnchor>
  <xdr:oneCellAnchor>
    <xdr:from>
      <xdr:col>2</xdr:col>
      <xdr:colOff>1097899</xdr:colOff>
      <xdr:row>12</xdr:row>
      <xdr:rowOff>68641</xdr:rowOff>
    </xdr:from>
    <xdr:ext cx="607089" cy="264560"/>
    <xdr:sp macro="" textlink="Projections!$M$7">
      <xdr:nvSpPr>
        <xdr:cNvPr id="23" name="TextBox 22">
          <a:extLst>
            <a:ext uri="{FF2B5EF4-FFF2-40B4-BE49-F238E27FC236}">
              <a16:creationId xmlns:a16="http://schemas.microsoft.com/office/drawing/2014/main" id="{9DBF8942-577C-4AA5-F9C9-441A074E5DC2}"/>
            </a:ext>
          </a:extLst>
        </xdr:cNvPr>
        <xdr:cNvSpPr txBox="1"/>
      </xdr:nvSpPr>
      <xdr:spPr>
        <a:xfrm>
          <a:off x="2675157" y="2414044"/>
          <a:ext cx="607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9D39BD6-DA2D-4792-B04B-389BCB573757}" type="TxLink">
            <a:rPr lang="en-US" sz="1100" b="1" i="0" u="none" strike="noStrike">
              <a:solidFill>
                <a:srgbClr val="AC3004"/>
              </a:solidFill>
              <a:latin typeface="Calibri"/>
              <a:ea typeface="Calibri"/>
              <a:cs typeface="Calibri"/>
            </a:rPr>
            <a:pPr/>
            <a:t>10.50%</a:t>
          </a:fld>
          <a:endParaRPr lang="en-US" sz="1100" b="1">
            <a:solidFill>
              <a:srgbClr val="AC3004"/>
            </a:solidFill>
          </a:endParaRPr>
        </a:p>
      </xdr:txBody>
    </xdr:sp>
    <xdr:clientData/>
  </xdr:oneCellAnchor>
  <xdr:oneCellAnchor>
    <xdr:from>
      <xdr:col>8</xdr:col>
      <xdr:colOff>122994</xdr:colOff>
      <xdr:row>11</xdr:row>
      <xdr:rowOff>86759</xdr:rowOff>
    </xdr:from>
    <xdr:ext cx="611193" cy="264560"/>
    <xdr:sp macro="" textlink="'Historical FS'!L18">
      <xdr:nvSpPr>
        <xdr:cNvPr id="24" name="TextBox 23">
          <a:extLst>
            <a:ext uri="{FF2B5EF4-FFF2-40B4-BE49-F238E27FC236}">
              <a16:creationId xmlns:a16="http://schemas.microsoft.com/office/drawing/2014/main" id="{0E3C2B13-62FA-C578-5116-7C67B9DEA5EC}"/>
            </a:ext>
          </a:extLst>
        </xdr:cNvPr>
        <xdr:cNvSpPr txBox="1"/>
      </xdr:nvSpPr>
      <xdr:spPr>
        <a:xfrm>
          <a:off x="5685272" y="2248974"/>
          <a:ext cx="6111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322BFEC-C1BA-4576-B52A-B6EC9AC599A3}" type="TxLink">
            <a:rPr lang="en-US" sz="1100" b="1" i="0" u="none" strike="noStrike">
              <a:solidFill>
                <a:sysClr val="windowText" lastClr="000000"/>
              </a:solidFill>
              <a:latin typeface="Calibri"/>
              <a:ea typeface="Calibri"/>
              <a:cs typeface="Calibri"/>
            </a:rPr>
            <a:pPr/>
            <a:t>18.83%</a:t>
          </a:fld>
          <a:endParaRPr lang="en-US" sz="1100" b="1">
            <a:solidFill>
              <a:sysClr val="windowText" lastClr="000000"/>
            </a:solidFill>
          </a:endParaRPr>
        </a:p>
      </xdr:txBody>
    </xdr:sp>
    <xdr:clientData/>
  </xdr:oneCellAnchor>
  <xdr:oneCellAnchor>
    <xdr:from>
      <xdr:col>15</xdr:col>
      <xdr:colOff>302381</xdr:colOff>
      <xdr:row>11</xdr:row>
      <xdr:rowOff>40317</xdr:rowOff>
    </xdr:from>
    <xdr:ext cx="184731" cy="264560"/>
    <xdr:sp macro="" textlink="">
      <xdr:nvSpPr>
        <xdr:cNvPr id="26" name="TextBox 25">
          <a:extLst>
            <a:ext uri="{FF2B5EF4-FFF2-40B4-BE49-F238E27FC236}">
              <a16:creationId xmlns:a16="http://schemas.microsoft.com/office/drawing/2014/main" id="{4EC7B654-B926-22E8-2EBF-678A9326FECD}"/>
            </a:ext>
          </a:extLst>
        </xdr:cNvPr>
        <xdr:cNvSpPr txBox="1"/>
      </xdr:nvSpPr>
      <xdr:spPr>
        <a:xfrm>
          <a:off x="11319127" y="21670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554366</xdr:colOff>
      <xdr:row>8</xdr:row>
      <xdr:rowOff>30238</xdr:rowOff>
    </xdr:from>
    <xdr:ext cx="216534" cy="264560"/>
    <xdr:sp macro="" textlink="$M$10">
      <xdr:nvSpPr>
        <xdr:cNvPr id="27" name="TextBox 26">
          <a:extLst>
            <a:ext uri="{FF2B5EF4-FFF2-40B4-BE49-F238E27FC236}">
              <a16:creationId xmlns:a16="http://schemas.microsoft.com/office/drawing/2014/main" id="{9EE325CA-30D3-553B-7C9A-113E6190CC5C}"/>
            </a:ext>
          </a:extLst>
        </xdr:cNvPr>
        <xdr:cNvSpPr txBox="1"/>
      </xdr:nvSpPr>
      <xdr:spPr>
        <a:xfrm>
          <a:off x="7690556" y="1612698"/>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E5E1E99-D11D-4421-8DB3-91B7541EF70D}" type="TxLink">
            <a:rPr lang="en-US" sz="1100" b="0" i="0" u="none" strike="noStrike">
              <a:solidFill>
                <a:srgbClr val="BFBFBF"/>
              </a:solidFill>
              <a:latin typeface="Calibri"/>
              <a:ea typeface="Calibri"/>
              <a:cs typeface="Calibri"/>
            </a:rPr>
            <a:pPr/>
            <a:t> </a:t>
          </a:fld>
          <a:endParaRPr lang="en-US" sz="1100"/>
        </a:p>
      </xdr:txBody>
    </xdr:sp>
    <xdr:clientData/>
  </xdr:oneCellAnchor>
  <xdr:oneCellAnchor>
    <xdr:from>
      <xdr:col>9</xdr:col>
      <xdr:colOff>635002</xdr:colOff>
      <xdr:row>11</xdr:row>
      <xdr:rowOff>68642</xdr:rowOff>
    </xdr:from>
    <xdr:ext cx="607089" cy="264560"/>
    <xdr:sp macro="" textlink="'Ratio Analysis'!O12">
      <xdr:nvSpPr>
        <xdr:cNvPr id="28" name="TextBox 27">
          <a:extLst>
            <a:ext uri="{FF2B5EF4-FFF2-40B4-BE49-F238E27FC236}">
              <a16:creationId xmlns:a16="http://schemas.microsoft.com/office/drawing/2014/main" id="{A79C2BD5-E81C-F8FF-03C0-0A28EBD11FE5}"/>
            </a:ext>
          </a:extLst>
        </xdr:cNvPr>
        <xdr:cNvSpPr txBox="1"/>
      </xdr:nvSpPr>
      <xdr:spPr>
        <a:xfrm>
          <a:off x="6816205" y="2230857"/>
          <a:ext cx="607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8275605-9460-40FF-AC7A-4A9D528C8D03}" type="TxLink">
            <a:rPr lang="en-US" sz="1100" b="1" i="0" u="none" strike="noStrike">
              <a:solidFill>
                <a:srgbClr val="000000"/>
              </a:solidFill>
              <a:latin typeface="Calibri"/>
              <a:ea typeface="Calibri"/>
              <a:cs typeface="Calibri"/>
            </a:rPr>
            <a:pPr/>
            <a:t>19.31%</a:t>
          </a:fld>
          <a:endParaRPr lang="en-US" sz="1100" b="1">
            <a:solidFill>
              <a:sysClr val="windowText" lastClr="000000"/>
            </a:solidFill>
          </a:endParaRPr>
        </a:p>
      </xdr:txBody>
    </xdr:sp>
    <xdr:clientData/>
  </xdr:oneCellAnchor>
  <xdr:oneCellAnchor>
    <xdr:from>
      <xdr:col>8</xdr:col>
      <xdr:colOff>159892</xdr:colOff>
      <xdr:row>12</xdr:row>
      <xdr:rowOff>72935</xdr:rowOff>
    </xdr:from>
    <xdr:ext cx="616194" cy="264560"/>
    <xdr:sp macro="" textlink="Projections!M28">
      <xdr:nvSpPr>
        <xdr:cNvPr id="29" name="TextBox 28">
          <a:extLst>
            <a:ext uri="{FF2B5EF4-FFF2-40B4-BE49-F238E27FC236}">
              <a16:creationId xmlns:a16="http://schemas.microsoft.com/office/drawing/2014/main" id="{9F731C94-74EA-3EB6-264B-45D9191DA2D8}"/>
            </a:ext>
          </a:extLst>
        </xdr:cNvPr>
        <xdr:cNvSpPr txBox="1"/>
      </xdr:nvSpPr>
      <xdr:spPr>
        <a:xfrm>
          <a:off x="5700779" y="2418338"/>
          <a:ext cx="6161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D817013-2B62-44AC-9E17-F6EA021F2FEC}" type="TxLink">
            <a:rPr lang="en-US" sz="1100" b="1" i="0" u="none" strike="noStrike">
              <a:solidFill>
                <a:srgbClr val="A6190A"/>
              </a:solidFill>
              <a:latin typeface="Calibri"/>
              <a:ea typeface="Calibri"/>
              <a:cs typeface="Calibri"/>
            </a:rPr>
            <a:pPr/>
            <a:t>7,391.2</a:t>
          </a:fld>
          <a:endParaRPr lang="en-US" sz="1100" b="1">
            <a:solidFill>
              <a:srgbClr val="A6190A"/>
            </a:solidFill>
          </a:endParaRPr>
        </a:p>
      </xdr:txBody>
    </xdr:sp>
    <xdr:clientData/>
  </xdr:oneCellAnchor>
  <xdr:oneCellAnchor>
    <xdr:from>
      <xdr:col>12</xdr:col>
      <xdr:colOff>693435</xdr:colOff>
      <xdr:row>11</xdr:row>
      <xdr:rowOff>74637</xdr:rowOff>
    </xdr:from>
    <xdr:ext cx="506229" cy="264560"/>
    <xdr:sp macro="" textlink="'Historical FS'!L44">
      <xdr:nvSpPr>
        <xdr:cNvPr id="30" name="TextBox 29">
          <a:extLst>
            <a:ext uri="{FF2B5EF4-FFF2-40B4-BE49-F238E27FC236}">
              <a16:creationId xmlns:a16="http://schemas.microsoft.com/office/drawing/2014/main" id="{1C982F35-6F2E-FEBA-4A24-9CE0B94A8B5B}"/>
            </a:ext>
          </a:extLst>
        </xdr:cNvPr>
        <xdr:cNvSpPr txBox="1"/>
      </xdr:nvSpPr>
      <xdr:spPr>
        <a:xfrm>
          <a:off x="9157422" y="2236852"/>
          <a:ext cx="5062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6048F61-092D-44A3-84EB-87A78FF846FA}" type="TxLink">
            <a:rPr lang="en-US" sz="1100" b="1" i="0" u="none" strike="noStrike">
              <a:solidFill>
                <a:srgbClr val="000000"/>
              </a:solidFill>
              <a:latin typeface="Calibri"/>
              <a:ea typeface="Calibri"/>
              <a:cs typeface="Calibri"/>
            </a:rPr>
            <a:pPr/>
            <a:t>₹45.1</a:t>
          </a:fld>
          <a:endParaRPr lang="en-US" sz="1100" b="1"/>
        </a:p>
      </xdr:txBody>
    </xdr:sp>
    <xdr:clientData/>
  </xdr:oneCellAnchor>
  <xdr:oneCellAnchor>
    <xdr:from>
      <xdr:col>14</xdr:col>
      <xdr:colOff>292465</xdr:colOff>
      <xdr:row>11</xdr:row>
      <xdr:rowOff>70231</xdr:rowOff>
    </xdr:from>
    <xdr:ext cx="611193" cy="264560"/>
    <xdr:sp macro="" textlink="'Historical FS'!$L$40">
      <xdr:nvSpPr>
        <xdr:cNvPr id="31" name="TextBox 30">
          <a:extLst>
            <a:ext uri="{FF2B5EF4-FFF2-40B4-BE49-F238E27FC236}">
              <a16:creationId xmlns:a16="http://schemas.microsoft.com/office/drawing/2014/main" id="{59DC0B45-CC05-55F0-B71F-67ABD17A1D78}"/>
            </a:ext>
          </a:extLst>
        </xdr:cNvPr>
        <xdr:cNvSpPr txBox="1"/>
      </xdr:nvSpPr>
      <xdr:spPr>
        <a:xfrm>
          <a:off x="10431981" y="2231279"/>
          <a:ext cx="6111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F013872-142C-4972-8448-4DF6DCAF398D}" type="TxLink">
            <a:rPr lang="en-US" sz="1100" b="1" i="0" u="none" strike="noStrike">
              <a:solidFill>
                <a:schemeClr val="tx1"/>
              </a:solidFill>
              <a:latin typeface="Calibri"/>
              <a:ea typeface="Calibri"/>
              <a:cs typeface="Calibri"/>
            </a:rPr>
            <a:pPr/>
            <a:t>12.16%</a:t>
          </a:fld>
          <a:endParaRPr lang="en-US" sz="1100" b="1">
            <a:solidFill>
              <a:schemeClr val="tx1"/>
            </a:solidFill>
          </a:endParaRPr>
        </a:p>
      </xdr:txBody>
    </xdr:sp>
    <xdr:clientData/>
  </xdr:oneCellAnchor>
  <xdr:oneCellAnchor>
    <xdr:from>
      <xdr:col>16</xdr:col>
      <xdr:colOff>383016</xdr:colOff>
      <xdr:row>3</xdr:row>
      <xdr:rowOff>80635</xdr:rowOff>
    </xdr:from>
    <xdr:ext cx="184731" cy="264560"/>
    <xdr:sp macro="" textlink="">
      <xdr:nvSpPr>
        <xdr:cNvPr id="1024" name="TextBox 1023">
          <a:extLst>
            <a:ext uri="{FF2B5EF4-FFF2-40B4-BE49-F238E27FC236}">
              <a16:creationId xmlns:a16="http://schemas.microsoft.com/office/drawing/2014/main" id="{A640DCAD-6FD1-3557-697B-E7DB07D6A69A}"/>
            </a:ext>
          </a:extLst>
        </xdr:cNvPr>
        <xdr:cNvSpPr txBox="1"/>
      </xdr:nvSpPr>
      <xdr:spPr>
        <a:xfrm>
          <a:off x="12246429" y="7559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12</xdr:col>
      <xdr:colOff>794340</xdr:colOff>
      <xdr:row>12</xdr:row>
      <xdr:rowOff>67093</xdr:rowOff>
    </xdr:from>
    <xdr:ext cx="687689" cy="264560"/>
    <xdr:sp macro="" textlink="'Historical FS'!M39">
      <xdr:nvSpPr>
        <xdr:cNvPr id="1025" name="TextBox 1024">
          <a:extLst>
            <a:ext uri="{FF2B5EF4-FFF2-40B4-BE49-F238E27FC236}">
              <a16:creationId xmlns:a16="http://schemas.microsoft.com/office/drawing/2014/main" id="{D6798814-BAB6-BCBB-9B99-C50DD8800C4F}"/>
            </a:ext>
          </a:extLst>
        </xdr:cNvPr>
        <xdr:cNvSpPr txBox="1"/>
      </xdr:nvSpPr>
      <xdr:spPr>
        <a:xfrm>
          <a:off x="9223453" y="2412496"/>
          <a:ext cx="6876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AE0034-318F-492D-ADB1-16DC2622CDE9}" type="TxLink">
            <a:rPr lang="en-US" sz="1100" b="1" i="0" u="none" strike="noStrike">
              <a:solidFill>
                <a:srgbClr val="AC3004"/>
              </a:solidFill>
              <a:latin typeface="Calibri"/>
              <a:ea typeface="Calibri"/>
              <a:cs typeface="Calibri"/>
            </a:rPr>
            <a:pPr/>
            <a:t>₹4,764.8</a:t>
          </a:fld>
          <a:endParaRPr lang="en-US" sz="1100">
            <a:solidFill>
              <a:srgbClr val="AC3004"/>
            </a:solidFill>
          </a:endParaRPr>
        </a:p>
      </xdr:txBody>
    </xdr:sp>
    <xdr:clientData/>
  </xdr:oneCellAnchor>
  <xdr:oneCellAnchor>
    <xdr:from>
      <xdr:col>14</xdr:col>
      <xdr:colOff>580647</xdr:colOff>
      <xdr:row>12</xdr:row>
      <xdr:rowOff>76680</xdr:rowOff>
    </xdr:from>
    <xdr:ext cx="506229" cy="264560"/>
    <xdr:sp macro="" textlink="'Historical FS'!M44">
      <xdr:nvSpPr>
        <xdr:cNvPr id="1028" name="TextBox 1027">
          <a:extLst>
            <a:ext uri="{FF2B5EF4-FFF2-40B4-BE49-F238E27FC236}">
              <a16:creationId xmlns:a16="http://schemas.microsoft.com/office/drawing/2014/main" id="{4E475679-B78E-2DE0-BA05-CD955F5A1BA0}"/>
            </a:ext>
          </a:extLst>
        </xdr:cNvPr>
        <xdr:cNvSpPr txBox="1"/>
      </xdr:nvSpPr>
      <xdr:spPr>
        <a:xfrm>
          <a:off x="10756723" y="2423769"/>
          <a:ext cx="5062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619CE57-8CA5-44C7-96B9-50FCEC73CE02}" type="TxLink">
            <a:rPr lang="en-US" sz="1100" b="1" i="0" u="none" strike="noStrike">
              <a:solidFill>
                <a:srgbClr val="AC3004"/>
              </a:solidFill>
              <a:latin typeface="Calibri"/>
              <a:ea typeface="Calibri"/>
              <a:cs typeface="Calibri"/>
            </a:rPr>
            <a:pPr/>
            <a:t>₹49.7</a:t>
          </a:fld>
          <a:endParaRPr lang="en-US" sz="1100" b="1">
            <a:solidFill>
              <a:srgbClr val="AC3004"/>
            </a:solidFill>
          </a:endParaRPr>
        </a:p>
      </xdr:txBody>
    </xdr:sp>
    <xdr:clientData/>
  </xdr:oneCellAnchor>
  <xdr:twoCellAnchor editAs="oneCell">
    <xdr:from>
      <xdr:col>0</xdr:col>
      <xdr:colOff>0</xdr:colOff>
      <xdr:row>1</xdr:row>
      <xdr:rowOff>128608</xdr:rowOff>
    </xdr:from>
    <xdr:to>
      <xdr:col>1</xdr:col>
      <xdr:colOff>42498</xdr:colOff>
      <xdr:row>5</xdr:row>
      <xdr:rowOff>78078</xdr:rowOff>
    </xdr:to>
    <xdr:pic>
      <xdr:nvPicPr>
        <xdr:cNvPr id="14" name="Picture 13">
          <a:hlinkClick xmlns:r="http://schemas.openxmlformats.org/officeDocument/2006/relationships" r:id="rId3"/>
          <a:extLst>
            <a:ext uri="{FF2B5EF4-FFF2-40B4-BE49-F238E27FC236}">
              <a16:creationId xmlns:a16="http://schemas.microsoft.com/office/drawing/2014/main" id="{28FF83AC-2187-484F-A14B-26F5CF7DB98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0" y="393861"/>
          <a:ext cx="1280346" cy="737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265254</xdr:colOff>
      <xdr:row>7</xdr:row>
      <xdr:rowOff>40191</xdr:rowOff>
    </xdr:from>
    <xdr:to>
      <xdr:col>0</xdr:col>
      <xdr:colOff>956520</xdr:colOff>
      <xdr:row>11</xdr:row>
      <xdr:rowOff>8410</xdr:rowOff>
    </xdr:to>
    <xdr:pic>
      <xdr:nvPicPr>
        <xdr:cNvPr id="15" name="Picture 3" descr="Bar chart with solid fill">
          <a:hlinkClick xmlns:r="http://schemas.openxmlformats.org/officeDocument/2006/relationships" r:id="rId5"/>
          <a:extLst>
            <a:ext uri="{FF2B5EF4-FFF2-40B4-BE49-F238E27FC236}">
              <a16:creationId xmlns:a16="http://schemas.microsoft.com/office/drawing/2014/main" id="{FA855822-910C-49E9-8F39-43342AC406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265254" y="1462913"/>
          <a:ext cx="691266" cy="707712"/>
        </a:xfrm>
        <a:prstGeom prst="rect">
          <a:avLst/>
        </a:prstGeom>
      </xdr:spPr>
    </xdr:pic>
    <xdr:clientData/>
  </xdr:twoCellAnchor>
  <xdr:twoCellAnchor editAs="oneCell">
    <xdr:from>
      <xdr:col>0</xdr:col>
      <xdr:colOff>265253</xdr:colOff>
      <xdr:row>13</xdr:row>
      <xdr:rowOff>80380</xdr:rowOff>
    </xdr:from>
    <xdr:to>
      <xdr:col>0</xdr:col>
      <xdr:colOff>986682</xdr:colOff>
      <xdr:row>17</xdr:row>
      <xdr:rowOff>16077</xdr:rowOff>
    </xdr:to>
    <xdr:pic>
      <xdr:nvPicPr>
        <xdr:cNvPr id="1029" name="Picture 5" descr="Document with solid fill">
          <a:hlinkClick xmlns:r="http://schemas.openxmlformats.org/officeDocument/2006/relationships" r:id="rId8"/>
          <a:extLst>
            <a:ext uri="{FF2B5EF4-FFF2-40B4-BE49-F238E27FC236}">
              <a16:creationId xmlns:a16="http://schemas.microsoft.com/office/drawing/2014/main" id="{FBF46D0A-6149-4B41-8195-12ACF6CAC90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65253" y="2660570"/>
          <a:ext cx="721429" cy="723418"/>
        </a:xfrm>
        <a:prstGeom prst="rect">
          <a:avLst/>
        </a:prstGeom>
      </xdr:spPr>
    </xdr:pic>
    <xdr:clientData/>
  </xdr:twoCellAnchor>
  <xdr:twoCellAnchor editAs="oneCell">
    <xdr:from>
      <xdr:col>0</xdr:col>
      <xdr:colOff>257215</xdr:colOff>
      <xdr:row>19</xdr:row>
      <xdr:rowOff>80380</xdr:rowOff>
    </xdr:from>
    <xdr:to>
      <xdr:col>0</xdr:col>
      <xdr:colOff>982928</xdr:colOff>
      <xdr:row>22</xdr:row>
      <xdr:rowOff>219624</xdr:rowOff>
    </xdr:to>
    <xdr:pic>
      <xdr:nvPicPr>
        <xdr:cNvPr id="1030" name="Graphic 1029" descr="Customer review with solid fill">
          <a:hlinkClick xmlns:r="http://schemas.openxmlformats.org/officeDocument/2006/relationships" r:id="rId11"/>
          <a:extLst>
            <a:ext uri="{FF2B5EF4-FFF2-40B4-BE49-F238E27FC236}">
              <a16:creationId xmlns:a16="http://schemas.microsoft.com/office/drawing/2014/main" id="{63AC712D-46A5-44C1-828D-137449A0306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57215" y="3818038"/>
          <a:ext cx="725713" cy="742092"/>
        </a:xfrm>
        <a:prstGeom prst="rect">
          <a:avLst/>
        </a:prstGeom>
      </xdr:spPr>
    </xdr:pic>
    <xdr:clientData/>
  </xdr:twoCellAnchor>
  <xdr:twoCellAnchor editAs="oneCell">
    <xdr:from>
      <xdr:col>0</xdr:col>
      <xdr:colOff>241140</xdr:colOff>
      <xdr:row>24</xdr:row>
      <xdr:rowOff>120569</xdr:rowOff>
    </xdr:from>
    <xdr:to>
      <xdr:col>0</xdr:col>
      <xdr:colOff>1027330</xdr:colOff>
      <xdr:row>28</xdr:row>
      <xdr:rowOff>24114</xdr:rowOff>
    </xdr:to>
    <xdr:pic>
      <xdr:nvPicPr>
        <xdr:cNvPr id="1031" name="Picture 1030" descr="Indian rupee sign. Icon for design on blank background Icon of &quot;Indian rupee sign&quot; for your own design. Two icons with editable stroke included in the bundle: - One black icon on a white background. - One white icon on a black background. The layers are named to facilitate your customization. Vector Illustration (EPS10, well layered and grouped). Easy to edit, manipulate, resize or colorize. Vector and Jpeg file of different sizes. rupees symbol stock illustrations">
          <a:hlinkClick xmlns:r="http://schemas.openxmlformats.org/officeDocument/2006/relationships" r:id="rId14"/>
          <a:extLst>
            <a:ext uri="{FF2B5EF4-FFF2-40B4-BE49-F238E27FC236}">
              <a16:creationId xmlns:a16="http://schemas.microsoft.com/office/drawing/2014/main" id="{A050BA13-217E-44F8-882A-6CDBC782DA11}"/>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51264"/>
        <a:stretch>
          <a:fillRect/>
        </a:stretch>
      </xdr:blipFill>
      <xdr:spPr bwMode="auto">
        <a:xfrm>
          <a:off x="241140" y="4935316"/>
          <a:ext cx="786190" cy="79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reener.in/exce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7496-6429-41B3-AD50-B156A42B07A9}">
  <dimension ref="A1:AD53"/>
  <sheetViews>
    <sheetView showGridLines="0" tabSelected="1" zoomScale="62" zoomScaleNormal="109" workbookViewId="0">
      <selection activeCell="D35" sqref="D35:Q35"/>
    </sheetView>
  </sheetViews>
  <sheetFormatPr defaultRowHeight="14.5" x14ac:dyDescent="0.35"/>
  <cols>
    <col min="1" max="1" width="17.7265625" style="65" customWidth="1"/>
    <col min="2" max="2" width="4.81640625" style="65" customWidth="1"/>
    <col min="3" max="3" width="27.54296875" style="65" customWidth="1"/>
    <col min="4" max="9" width="8.81640625" style="65" bestFit="1" customWidth="1"/>
    <col min="10" max="10" width="14" style="65" customWidth="1"/>
    <col min="11" max="11" width="9.81640625" style="65" customWidth="1"/>
    <col min="12" max="12" width="8.81640625" style="65" customWidth="1"/>
    <col min="13" max="13" width="12.453125" style="65" customWidth="1"/>
    <col min="14" max="14" width="12.08984375" style="65" customWidth="1"/>
    <col min="15" max="15" width="12.453125" style="65" customWidth="1"/>
    <col min="16" max="16" width="12.1796875" style="65" customWidth="1"/>
    <col min="17" max="17" width="12.54296875" style="65" customWidth="1"/>
    <col min="18" max="18" width="4.36328125" style="65" customWidth="1"/>
    <col min="19" max="19" width="24.26953125" style="65" customWidth="1"/>
    <col min="20" max="20" width="11.1796875" style="65" customWidth="1"/>
    <col min="21" max="21" width="8.7265625" style="65"/>
    <col min="22" max="22" width="10.453125" style="65" customWidth="1"/>
    <col min="23" max="16384" width="8.7265625" style="65"/>
  </cols>
  <sheetData>
    <row r="1" spans="1:30" ht="21" x14ac:dyDescent="0.35">
      <c r="A1" s="64"/>
      <c r="C1" s="98" t="str">
        <f>'Data Sheet'!B1&amp; " - FINANCIAL MODEL DASHBOARD"</f>
        <v>ASIAN PAINTS LTD - FINANCIAL MODEL DASHBOARD</v>
      </c>
      <c r="S1" s="118" t="s">
        <v>167</v>
      </c>
      <c r="T1" s="119"/>
      <c r="U1" s="119"/>
      <c r="V1" s="119"/>
      <c r="W1" s="120"/>
    </row>
    <row r="2" spans="1:30" ht="18.5" x14ac:dyDescent="0.35">
      <c r="A2" s="64"/>
      <c r="S2" s="121" t="s">
        <v>168</v>
      </c>
      <c r="T2" s="122"/>
      <c r="U2" s="77" t="s">
        <v>169</v>
      </c>
      <c r="V2" s="77" t="s">
        <v>170</v>
      </c>
      <c r="W2" s="78" t="s">
        <v>171</v>
      </c>
    </row>
    <row r="3" spans="1:30" x14ac:dyDescent="0.35">
      <c r="A3" s="64"/>
      <c r="R3" s="68"/>
      <c r="S3" s="70" t="str">
        <f>'Ratio Analysis'!B5</f>
        <v>Sales Growth</v>
      </c>
      <c r="T3" s="70"/>
      <c r="U3" s="73">
        <f>'Ratio Analysis'!L5</f>
        <v>4.9487960992897317E-2</v>
      </c>
      <c r="V3" s="73">
        <f>'Ratio Analysis'!N5</f>
        <v>0.1049619423373859</v>
      </c>
      <c r="W3" s="96" t="str">
        <f>IF(U3&gt;V3,"▲","▼")</f>
        <v>▼</v>
      </c>
      <c r="X3" s="68"/>
      <c r="Y3" s="68"/>
      <c r="Z3" s="68"/>
      <c r="AA3" s="68"/>
      <c r="AB3" s="68"/>
      <c r="AC3" s="68"/>
      <c r="AD3" s="68"/>
    </row>
    <row r="4" spans="1:30" x14ac:dyDescent="0.35">
      <c r="A4" s="64"/>
      <c r="R4" s="68"/>
      <c r="S4" s="70" t="str">
        <f>'Ratio Analysis'!B12</f>
        <v>EBITDA Margin</v>
      </c>
      <c r="T4" s="70"/>
      <c r="U4" s="73">
        <f>'Ratio Analysis'!L12</f>
        <v>0.18828171677129379</v>
      </c>
      <c r="V4" s="73">
        <f>'Ratio Analysis'!N12</f>
        <v>0.19401126354378506</v>
      </c>
      <c r="W4" s="96" t="str">
        <f t="shared" ref="W4:W10" si="0">IF(U4&gt;V4,"▲","▼")</f>
        <v>▼</v>
      </c>
      <c r="X4" s="68"/>
      <c r="Y4" s="68"/>
      <c r="Z4" s="68"/>
      <c r="AA4" s="68"/>
      <c r="AB4" s="68"/>
      <c r="AC4" s="68"/>
      <c r="AD4" s="68"/>
    </row>
    <row r="5" spans="1:30" x14ac:dyDescent="0.35">
      <c r="A5" s="64"/>
      <c r="R5" s="68"/>
      <c r="S5" s="70" t="str">
        <f>'Ratio Analysis'!B15</f>
        <v>Net Profit Margin</v>
      </c>
      <c r="T5" s="70"/>
      <c r="U5" s="73">
        <f>'Ratio Analysis'!L15</f>
        <v>0.12155479752717127</v>
      </c>
      <c r="V5" s="73">
        <f>'Ratio Analysis'!N15</f>
        <v>0.12471840803597434</v>
      </c>
      <c r="W5" s="96" t="str">
        <f t="shared" si="0"/>
        <v>▼</v>
      </c>
      <c r="X5" s="68"/>
      <c r="Y5" s="68"/>
      <c r="Z5" s="68"/>
      <c r="AA5" s="68"/>
      <c r="AB5" s="68"/>
      <c r="AC5" s="68"/>
      <c r="AD5" s="68"/>
    </row>
    <row r="6" spans="1:30" x14ac:dyDescent="0.35">
      <c r="A6" s="64"/>
      <c r="R6" s="68"/>
      <c r="S6" s="70" t="s">
        <v>172</v>
      </c>
      <c r="T6" s="70"/>
      <c r="U6" s="73">
        <f>'Ratio Analysis'!L21</f>
        <v>0.2162358718318835</v>
      </c>
      <c r="V6" s="73">
        <f>'Ratio Analysis'!N21</f>
        <v>0.28515252171566874</v>
      </c>
      <c r="W6" s="96" t="str">
        <f t="shared" si="0"/>
        <v>▼</v>
      </c>
      <c r="X6" s="68"/>
      <c r="Y6" s="68"/>
      <c r="Z6" s="68"/>
      <c r="AA6" s="68"/>
      <c r="AB6" s="68"/>
      <c r="AC6" s="68"/>
      <c r="AD6" s="68"/>
    </row>
    <row r="7" spans="1:30" x14ac:dyDescent="0.35">
      <c r="A7" s="64"/>
      <c r="R7" s="68"/>
      <c r="S7" s="70" t="s">
        <v>173</v>
      </c>
      <c r="T7" s="70"/>
      <c r="U7" s="73">
        <f>'Ratio Analysis'!L23</f>
        <v>0.2023878429260528</v>
      </c>
      <c r="V7" s="73">
        <f>'Ratio Analysis'!N23</f>
        <v>0.23964869207517983</v>
      </c>
      <c r="W7" s="96" t="str">
        <f t="shared" si="0"/>
        <v>▼</v>
      </c>
      <c r="X7" s="68"/>
      <c r="Y7" s="68"/>
      <c r="Z7" s="68"/>
      <c r="AA7" s="68"/>
      <c r="AB7" s="68"/>
      <c r="AC7" s="68"/>
      <c r="AD7" s="68"/>
    </row>
    <row r="8" spans="1:30" x14ac:dyDescent="0.35">
      <c r="A8" s="64"/>
      <c r="R8" s="68"/>
      <c r="S8" s="70" t="str">
        <f>'Ratio Analysis'!B24</f>
        <v>Sustainable Growth Rate</v>
      </c>
      <c r="T8" s="70"/>
      <c r="U8" s="73">
        <f>'Ratio Analysis'!L24</f>
        <v>7.8962304629650884E-2</v>
      </c>
      <c r="V8" s="73">
        <f>'Ratio Analysis'!N24</f>
        <v>0.11102229593395663</v>
      </c>
      <c r="W8" s="96" t="str">
        <f t="shared" si="0"/>
        <v>▼</v>
      </c>
      <c r="X8" s="68"/>
      <c r="Y8" s="68"/>
      <c r="Z8" s="68"/>
      <c r="AA8" s="68"/>
      <c r="AB8" s="68"/>
      <c r="AC8" s="68"/>
      <c r="AD8" s="68"/>
    </row>
    <row r="9" spans="1:30" x14ac:dyDescent="0.35">
      <c r="A9" s="64"/>
      <c r="R9" s="68"/>
      <c r="S9" s="70" t="str">
        <f>'Ratio Analysis'!B25</f>
        <v>Interest Coverage Ratio</v>
      </c>
      <c r="T9" s="70"/>
      <c r="U9" s="95">
        <f>'Ratio Analysis'!L25</f>
        <v>27.996929532777262</v>
      </c>
      <c r="V9" s="82">
        <f>'Ratio Analysis'!N25</f>
        <v>40.757635467114888</v>
      </c>
      <c r="W9" s="96" t="str">
        <f t="shared" si="0"/>
        <v>▼</v>
      </c>
      <c r="X9" s="79"/>
      <c r="Y9" s="68"/>
      <c r="Z9" s="68"/>
      <c r="AA9" s="68"/>
      <c r="AB9" s="68"/>
      <c r="AC9" s="68"/>
      <c r="AD9" s="68"/>
    </row>
    <row r="10" spans="1:30" x14ac:dyDescent="0.35">
      <c r="A10" s="64"/>
      <c r="R10" s="68"/>
      <c r="S10" s="70" t="str">
        <f>'Ratio Analysis'!B36</f>
        <v>Inventory Days</v>
      </c>
      <c r="T10" s="70"/>
      <c r="U10" s="81">
        <f>'Ratio Analysis'!L36</f>
        <v>89.249888142129109</v>
      </c>
      <c r="V10" s="81">
        <f>'Ratio Analysis'!N36</f>
        <v>96.260624559116081</v>
      </c>
      <c r="W10" s="96" t="str">
        <f t="shared" si="0"/>
        <v>▼</v>
      </c>
      <c r="X10" s="68"/>
      <c r="Y10" s="68"/>
      <c r="Z10" s="68"/>
      <c r="AA10" s="68"/>
      <c r="AB10" s="68"/>
      <c r="AC10" s="68"/>
      <c r="AD10" s="68"/>
    </row>
    <row r="11" spans="1:30" x14ac:dyDescent="0.35">
      <c r="A11" s="64"/>
      <c r="R11" s="68"/>
      <c r="S11" s="83" t="s">
        <v>174</v>
      </c>
      <c r="T11" s="83"/>
      <c r="U11" s="83"/>
      <c r="V11" s="83"/>
      <c r="W11" s="83"/>
      <c r="X11" s="84"/>
      <c r="Y11" s="68"/>
      <c r="Z11" s="68"/>
      <c r="AA11" s="68"/>
      <c r="AB11" s="68"/>
      <c r="AC11" s="68"/>
      <c r="AD11" s="68"/>
    </row>
    <row r="12" spans="1:30" x14ac:dyDescent="0.35">
      <c r="A12" s="64"/>
      <c r="F12" s="105">
        <f>AVERAGE('Historical FS'!D6:L6)</f>
        <v>0.1049619423373859</v>
      </c>
      <c r="R12" s="68"/>
      <c r="X12" s="68"/>
      <c r="Y12" s="68"/>
      <c r="Z12" s="68"/>
      <c r="AA12" s="68"/>
      <c r="AB12" s="68"/>
      <c r="AC12" s="68"/>
      <c r="AD12" s="68"/>
    </row>
    <row r="13" spans="1:30" ht="18.5" x14ac:dyDescent="0.35">
      <c r="A13" s="114"/>
      <c r="M13" s="105">
        <f>AVERAGE('Historical FS'!C18:L18)</f>
        <v>0.19401126354378506</v>
      </c>
      <c r="R13" s="68"/>
      <c r="S13" s="123" t="s">
        <v>175</v>
      </c>
      <c r="T13" s="124"/>
      <c r="U13" s="124"/>
      <c r="V13" s="124"/>
      <c r="W13" s="125"/>
      <c r="X13" s="68"/>
      <c r="Y13" s="68"/>
      <c r="Z13" s="68"/>
      <c r="AA13" s="68"/>
      <c r="AB13" s="68"/>
      <c r="AC13" s="68"/>
      <c r="AD13" s="68"/>
    </row>
    <row r="14" spans="1:30" x14ac:dyDescent="0.35">
      <c r="A14" s="64"/>
      <c r="R14" s="68"/>
      <c r="S14" s="70"/>
      <c r="T14" s="70"/>
      <c r="U14" s="70"/>
      <c r="V14" s="70"/>
      <c r="W14" s="70"/>
      <c r="X14" s="68"/>
      <c r="Y14" s="68"/>
      <c r="Z14" s="68"/>
      <c r="AA14" s="68"/>
      <c r="AB14" s="68"/>
      <c r="AC14" s="68"/>
      <c r="AD14" s="68"/>
    </row>
    <row r="15" spans="1:30" x14ac:dyDescent="0.35">
      <c r="A15" s="64"/>
      <c r="R15" s="68"/>
      <c r="S15" s="70"/>
      <c r="T15" s="70"/>
      <c r="U15" s="70"/>
      <c r="V15" s="70"/>
      <c r="W15" s="70"/>
      <c r="X15" s="68"/>
      <c r="Y15" s="68"/>
      <c r="Z15" s="68"/>
      <c r="AA15" s="68"/>
      <c r="AB15" s="68"/>
      <c r="AC15" s="68"/>
      <c r="AD15" s="68"/>
    </row>
    <row r="16" spans="1:30" ht="18.5" x14ac:dyDescent="0.35">
      <c r="A16" s="64"/>
      <c r="L16" s="69"/>
      <c r="M16" s="69"/>
      <c r="N16" s="76" t="s">
        <v>163</v>
      </c>
      <c r="O16" s="70"/>
      <c r="P16" s="70"/>
      <c r="Q16" s="70"/>
      <c r="R16" s="68"/>
      <c r="S16" s="70" t="s">
        <v>68</v>
      </c>
      <c r="T16" s="70"/>
      <c r="U16" s="70"/>
      <c r="V16" s="70"/>
      <c r="W16" s="70"/>
      <c r="X16" s="68"/>
      <c r="Y16" s="68"/>
      <c r="Z16" s="68"/>
      <c r="AA16" s="68"/>
      <c r="AB16" s="68"/>
      <c r="AC16" s="68"/>
      <c r="AD16" s="68"/>
    </row>
    <row r="17" spans="1:30" x14ac:dyDescent="0.35">
      <c r="A17" s="64"/>
      <c r="L17" s="69"/>
      <c r="M17" s="69"/>
      <c r="N17" s="69"/>
      <c r="O17" s="69"/>
      <c r="P17" s="69"/>
      <c r="Q17" s="69"/>
      <c r="R17" s="68"/>
      <c r="S17" s="70"/>
      <c r="T17" s="70"/>
      <c r="U17" s="70"/>
      <c r="V17" s="70"/>
      <c r="W17" s="70"/>
      <c r="X17" s="68"/>
      <c r="Y17" s="68"/>
      <c r="Z17" s="68"/>
      <c r="AA17" s="68"/>
      <c r="AB17" s="68"/>
      <c r="AC17" s="68"/>
      <c r="AD17" s="68"/>
    </row>
    <row r="18" spans="1:30" x14ac:dyDescent="0.35">
      <c r="A18" s="64"/>
      <c r="L18" s="126" t="s">
        <v>164</v>
      </c>
      <c r="M18" s="126"/>
      <c r="N18" s="93">
        <f>Projections!L6*(1+Dashboard!Q18)</f>
        <v>39318.457473640068</v>
      </c>
      <c r="O18" s="128" t="str">
        <f>'Sensitivity Analysis'!B3</f>
        <v>Sales Growth Rate</v>
      </c>
      <c r="P18" s="128"/>
      <c r="Q18" s="94">
        <f>'Sensitivity Analysis'!G3</f>
        <v>0.10496194233738598</v>
      </c>
      <c r="R18" s="68"/>
      <c r="S18" s="70"/>
      <c r="T18" s="70"/>
      <c r="U18" s="70"/>
      <c r="V18" s="70"/>
      <c r="W18" s="70"/>
      <c r="X18" s="68"/>
      <c r="Y18" s="68"/>
      <c r="Z18" s="68"/>
      <c r="AA18" s="68"/>
      <c r="AB18" s="68"/>
      <c r="AC18" s="68"/>
      <c r="AD18" s="68"/>
    </row>
    <row r="19" spans="1:30" x14ac:dyDescent="0.35">
      <c r="A19" s="64"/>
      <c r="L19" s="127" t="s">
        <v>165</v>
      </c>
      <c r="M19" s="127"/>
      <c r="N19" s="107">
        <f>N18*Q19</f>
        <v>7391.1981436716751</v>
      </c>
      <c r="O19" s="128" t="str">
        <f>'Sensitivity Analysis'!B4</f>
        <v>EBITDA Margin</v>
      </c>
      <c r="P19" s="128"/>
      <c r="Q19" s="94">
        <f>'Sensitivity Analysis'!G4</f>
        <v>0.18798291231610223</v>
      </c>
      <c r="R19" s="68"/>
      <c r="S19" s="70"/>
      <c r="T19" s="70"/>
      <c r="U19" s="70"/>
      <c r="V19" s="70"/>
      <c r="W19" s="70"/>
      <c r="X19" s="68"/>
      <c r="Y19" s="68"/>
      <c r="Z19" s="68"/>
      <c r="AA19" s="68"/>
      <c r="AB19" s="68"/>
      <c r="AC19" s="68"/>
      <c r="AD19" s="68"/>
    </row>
    <row r="20" spans="1:30" x14ac:dyDescent="0.35">
      <c r="A20" s="64"/>
      <c r="L20" s="71"/>
      <c r="M20" s="71"/>
      <c r="N20" s="74"/>
      <c r="O20" s="72"/>
      <c r="P20" s="72"/>
      <c r="Q20" s="73"/>
      <c r="R20" s="68"/>
      <c r="S20" s="70"/>
      <c r="T20" s="70"/>
      <c r="U20" s="70"/>
      <c r="V20" s="70"/>
      <c r="W20" s="70"/>
      <c r="X20" s="68"/>
      <c r="Y20" s="68"/>
      <c r="Z20" s="68"/>
      <c r="AA20" s="68"/>
      <c r="AB20" s="68"/>
      <c r="AC20" s="68"/>
      <c r="AD20" s="68"/>
    </row>
    <row r="21" spans="1:30" x14ac:dyDescent="0.35">
      <c r="A21" s="64"/>
      <c r="L21" s="69"/>
      <c r="M21" s="69"/>
      <c r="N21" s="69"/>
      <c r="O21" s="70"/>
      <c r="P21" s="70"/>
      <c r="Q21" s="70"/>
      <c r="R21" s="68"/>
      <c r="S21" s="70"/>
      <c r="T21" s="70"/>
      <c r="U21" s="70"/>
      <c r="V21" s="70"/>
      <c r="W21" s="70"/>
      <c r="X21" s="68"/>
      <c r="Y21" s="68"/>
      <c r="Z21" s="68"/>
      <c r="AA21" s="68"/>
      <c r="AB21" s="68"/>
      <c r="AC21" s="68"/>
      <c r="AD21" s="68"/>
    </row>
    <row r="22" spans="1:30" ht="18.5" x14ac:dyDescent="0.45">
      <c r="A22" s="64"/>
      <c r="L22" s="80">
        <f>N19</f>
        <v>7391.1981436716751</v>
      </c>
      <c r="M22" s="100">
        <v>2.4961942337385891E-2</v>
      </c>
      <c r="N22" s="100">
        <v>6.4961942337385892E-2</v>
      </c>
      <c r="O22" s="100">
        <v>0.1049619423373859</v>
      </c>
      <c r="P22" s="100">
        <v>0.14496194233738591</v>
      </c>
      <c r="Q22" s="101">
        <v>0.18496194233738592</v>
      </c>
      <c r="R22" s="68"/>
      <c r="S22" s="70"/>
      <c r="T22" s="70"/>
      <c r="U22" s="70"/>
      <c r="V22" s="70"/>
      <c r="W22" s="70"/>
      <c r="X22" s="68"/>
      <c r="Y22" s="68"/>
      <c r="Z22" s="68"/>
      <c r="AA22" s="68"/>
      <c r="AB22" s="68"/>
      <c r="AC22" s="68"/>
      <c r="AD22" s="68"/>
    </row>
    <row r="23" spans="1:30" ht="18.5" x14ac:dyDescent="0.35">
      <c r="A23" s="64"/>
      <c r="L23" s="102">
        <v>0.14798291231610225</v>
      </c>
      <c r="M23" s="115">
        <f t="dataTable" ref="M23:Q27" dt2D="1" dtr="1" r1="Q18" r2="Q19"/>
        <v>5397.1993743487519</v>
      </c>
      <c r="N23" s="115">
        <v>5607.8296095374126</v>
      </c>
      <c r="O23" s="115">
        <v>5818.4598447260732</v>
      </c>
      <c r="P23" s="115">
        <v>6029.090079914733</v>
      </c>
      <c r="Q23" s="115">
        <v>6239.7203151033937</v>
      </c>
      <c r="R23" s="68"/>
      <c r="S23" s="70"/>
      <c r="T23" s="70"/>
      <c r="U23" s="70"/>
      <c r="V23" s="70"/>
      <c r="W23" s="70"/>
      <c r="X23" s="68"/>
      <c r="Y23" s="68"/>
      <c r="Z23" s="68"/>
      <c r="AA23" s="68"/>
      <c r="AB23" s="68"/>
      <c r="AC23" s="68"/>
      <c r="AD23" s="68"/>
    </row>
    <row r="24" spans="1:30" ht="19" thickBot="1" x14ac:dyDescent="0.4">
      <c r="A24" s="64"/>
      <c r="L24" s="102">
        <v>0.16798291231610224</v>
      </c>
      <c r="M24" s="115">
        <v>6126.6348598215527</v>
      </c>
      <c r="N24" s="115">
        <v>6365.7319270102134</v>
      </c>
      <c r="O24" s="115">
        <v>6604.8289941988742</v>
      </c>
      <c r="P24" s="115">
        <v>6843.926061387534</v>
      </c>
      <c r="Q24" s="115">
        <v>7083.0231285761947</v>
      </c>
      <c r="R24" s="68"/>
      <c r="S24" s="70"/>
      <c r="T24" s="70"/>
      <c r="U24" s="70"/>
      <c r="V24" s="70"/>
      <c r="W24" s="70"/>
      <c r="X24" s="68"/>
      <c r="Y24" s="68"/>
      <c r="Z24" s="68"/>
      <c r="AA24" s="68"/>
      <c r="AB24" s="68"/>
      <c r="AC24" s="68"/>
      <c r="AD24" s="68"/>
    </row>
    <row r="25" spans="1:30" ht="19" thickBot="1" x14ac:dyDescent="0.4">
      <c r="A25" s="64"/>
      <c r="L25" s="102">
        <v>0.18798291231610223</v>
      </c>
      <c r="M25" s="115">
        <v>6856.0703452943544</v>
      </c>
      <c r="N25" s="115">
        <v>7123.6342444830143</v>
      </c>
      <c r="O25" s="116">
        <v>7391.1981436716751</v>
      </c>
      <c r="P25" s="115">
        <v>7658.762042860335</v>
      </c>
      <c r="Q25" s="115">
        <v>7926.3259420489949</v>
      </c>
      <c r="R25" s="68"/>
      <c r="S25" s="70"/>
      <c r="T25" s="70"/>
      <c r="U25" s="70"/>
      <c r="V25" s="70"/>
      <c r="W25" s="70"/>
      <c r="X25" s="68"/>
      <c r="Y25" s="68"/>
      <c r="Z25" s="68"/>
      <c r="AA25" s="68"/>
      <c r="AB25" s="68"/>
      <c r="AC25" s="68"/>
      <c r="AD25" s="68"/>
    </row>
    <row r="26" spans="1:30" ht="18.5" x14ac:dyDescent="0.35">
      <c r="A26" s="64"/>
      <c r="L26" s="102">
        <v>0.20798291231610222</v>
      </c>
      <c r="M26" s="115">
        <v>7585.5058307671552</v>
      </c>
      <c r="N26" s="115">
        <v>7881.5365619558161</v>
      </c>
      <c r="O26" s="115">
        <v>8177.567293144476</v>
      </c>
      <c r="P26" s="115">
        <v>8473.598024333136</v>
      </c>
      <c r="Q26" s="115">
        <v>8769.6287555217968</v>
      </c>
      <c r="R26" s="68"/>
      <c r="S26" s="70"/>
      <c r="T26" s="70"/>
      <c r="U26" s="70"/>
      <c r="V26" s="70"/>
      <c r="W26" s="70"/>
      <c r="X26" s="68"/>
      <c r="Y26" s="68"/>
      <c r="Z26" s="68"/>
      <c r="AA26" s="68"/>
      <c r="AB26" s="68"/>
      <c r="AC26" s="68"/>
      <c r="AD26" s="68"/>
    </row>
    <row r="27" spans="1:30" ht="18.5" x14ac:dyDescent="0.35">
      <c r="A27" s="64"/>
      <c r="L27" s="102">
        <v>0.22798291231610221</v>
      </c>
      <c r="M27" s="115">
        <v>8314.941316239956</v>
      </c>
      <c r="N27" s="115">
        <v>8639.4388794286169</v>
      </c>
      <c r="O27" s="115">
        <v>8963.9364426172779</v>
      </c>
      <c r="P27" s="115">
        <v>9288.434005805937</v>
      </c>
      <c r="Q27" s="115">
        <v>9612.9315689945961</v>
      </c>
      <c r="R27" s="68"/>
      <c r="S27" s="70"/>
      <c r="T27" s="70"/>
      <c r="U27" s="70"/>
      <c r="V27" s="70"/>
      <c r="W27" s="70"/>
      <c r="X27" s="68"/>
      <c r="Y27" s="68"/>
      <c r="Z27" s="68"/>
      <c r="AA27" s="68"/>
      <c r="AB27" s="68"/>
      <c r="AC27" s="68"/>
      <c r="AD27" s="68"/>
    </row>
    <row r="28" spans="1:30" x14ac:dyDescent="0.35">
      <c r="A28" s="64"/>
      <c r="L28" s="69"/>
      <c r="M28" s="69"/>
      <c r="N28" s="69"/>
      <c r="O28" s="69"/>
      <c r="P28" s="69"/>
      <c r="Q28" s="69"/>
      <c r="R28" s="68"/>
      <c r="S28" s="70"/>
      <c r="T28" s="70"/>
      <c r="U28" s="70"/>
      <c r="V28" s="70"/>
      <c r="W28" s="70"/>
      <c r="X28" s="68"/>
      <c r="Y28" s="68"/>
      <c r="Z28" s="68"/>
      <c r="AA28" s="68"/>
      <c r="AB28" s="68"/>
      <c r="AC28" s="68"/>
      <c r="AD28" s="68"/>
    </row>
    <row r="29" spans="1:30" x14ac:dyDescent="0.35">
      <c r="A29" s="64"/>
      <c r="L29" s="75" t="s">
        <v>191</v>
      </c>
      <c r="M29" s="75" t="str">
        <f>"₹"&amp;TEXT(MIN(M23:Q27),"#,##0")&amp;"- ₹"&amp;TEXT(MAX(M23:Q27),"#,##0")</f>
        <v>₹5,397- ₹9,613</v>
      </c>
      <c r="N29" s="75"/>
      <c r="O29" s="75"/>
      <c r="P29" s="75"/>
      <c r="Q29" s="75"/>
      <c r="R29" s="68"/>
      <c r="S29" s="70"/>
      <c r="T29" s="70"/>
      <c r="U29" s="70"/>
      <c r="V29" s="70"/>
      <c r="W29" s="70"/>
      <c r="X29" s="68"/>
      <c r="Y29" s="68"/>
      <c r="Z29" s="68"/>
      <c r="AA29" s="68"/>
      <c r="AB29" s="68"/>
      <c r="AC29" s="68"/>
      <c r="AD29" s="68"/>
    </row>
    <row r="30" spans="1:30" x14ac:dyDescent="0.35">
      <c r="A30" s="64"/>
      <c r="L30" s="70" t="s">
        <v>166</v>
      </c>
      <c r="M30" s="73" t="str">
        <f>TEXT((M23-O25)/O25,"+0%;-0%")&amp; " / " &amp;TEXT((Q27-O25)/O25,"+0%;-0%")</f>
        <v>-27% / +30%</v>
      </c>
      <c r="N30" s="70"/>
      <c r="O30" s="70"/>
      <c r="P30" s="70"/>
      <c r="Q30" s="70"/>
      <c r="R30" s="68"/>
      <c r="S30" s="70"/>
      <c r="T30" s="70"/>
      <c r="U30" s="70"/>
      <c r="V30" s="70"/>
      <c r="W30" s="70"/>
      <c r="X30" s="68"/>
      <c r="Y30" s="68"/>
      <c r="Z30" s="68"/>
      <c r="AA30" s="68"/>
      <c r="AB30" s="68"/>
      <c r="AC30" s="68"/>
      <c r="AD30" s="68"/>
    </row>
    <row r="31" spans="1:30" x14ac:dyDescent="0.35">
      <c r="A31" s="64"/>
      <c r="L31" s="69"/>
      <c r="M31" s="70"/>
      <c r="N31" s="70"/>
      <c r="O31" s="70"/>
      <c r="P31" s="70"/>
      <c r="Q31" s="70"/>
      <c r="R31" s="68"/>
      <c r="S31" s="70"/>
      <c r="T31" s="70"/>
      <c r="U31" s="70"/>
      <c r="V31" s="70"/>
      <c r="W31" s="70"/>
      <c r="X31" s="68"/>
      <c r="Y31" s="68"/>
      <c r="Z31" s="68"/>
      <c r="AA31" s="68"/>
      <c r="AB31" s="68"/>
      <c r="AC31" s="68"/>
      <c r="AD31" s="68"/>
    </row>
    <row r="32" spans="1:30" x14ac:dyDescent="0.35">
      <c r="M32" s="68"/>
      <c r="N32" s="68"/>
      <c r="O32" s="68"/>
      <c r="P32" s="68"/>
      <c r="Q32" s="68"/>
      <c r="R32" s="68"/>
      <c r="S32" s="68"/>
      <c r="T32" s="68"/>
      <c r="U32" s="68"/>
      <c r="V32" s="68"/>
      <c r="W32" s="68"/>
      <c r="X32" s="68"/>
      <c r="Y32" s="68"/>
      <c r="Z32" s="68"/>
      <c r="AA32" s="68"/>
      <c r="AB32" s="68"/>
      <c r="AC32" s="68"/>
      <c r="AD32" s="68"/>
    </row>
    <row r="33" spans="1:30" x14ac:dyDescent="0.35">
      <c r="M33" s="68"/>
      <c r="N33" s="68"/>
      <c r="O33" s="68"/>
      <c r="P33" s="68"/>
      <c r="Q33" s="68"/>
      <c r="R33" s="68"/>
      <c r="S33" s="68"/>
      <c r="T33" s="68"/>
      <c r="U33" s="68"/>
      <c r="V33" s="68"/>
      <c r="W33" s="68"/>
      <c r="X33" s="68"/>
      <c r="Y33" s="68"/>
      <c r="Z33" s="68"/>
      <c r="AA33" s="68"/>
      <c r="AB33" s="68"/>
      <c r="AC33" s="68"/>
      <c r="AD33" s="68"/>
    </row>
    <row r="34" spans="1:30" ht="30" customHeight="1" x14ac:dyDescent="0.35">
      <c r="B34" s="68"/>
      <c r="C34" s="130" t="s">
        <v>202</v>
      </c>
      <c r="D34" s="130"/>
      <c r="E34" s="130"/>
      <c r="F34" s="130"/>
      <c r="G34" s="130"/>
      <c r="H34" s="130"/>
      <c r="I34" s="130"/>
      <c r="J34" s="130"/>
      <c r="K34" s="130"/>
      <c r="L34" s="130"/>
      <c r="M34" s="130"/>
      <c r="N34" s="130"/>
      <c r="O34" s="130"/>
      <c r="P34" s="130"/>
      <c r="Q34" s="130"/>
      <c r="R34" s="68"/>
      <c r="S34" s="68"/>
    </row>
    <row r="35" spans="1:30" ht="40" customHeight="1" x14ac:dyDescent="0.35">
      <c r="B35" s="68"/>
      <c r="C35" s="117" t="s">
        <v>203</v>
      </c>
      <c r="D35" s="131" t="s">
        <v>204</v>
      </c>
      <c r="E35" s="129"/>
      <c r="F35" s="129"/>
      <c r="G35" s="129"/>
      <c r="H35" s="129"/>
      <c r="I35" s="129"/>
      <c r="J35" s="129"/>
      <c r="K35" s="129"/>
      <c r="L35" s="129"/>
      <c r="M35" s="129"/>
      <c r="N35" s="129"/>
      <c r="O35" s="129"/>
      <c r="P35" s="129"/>
      <c r="Q35" s="129"/>
      <c r="R35" s="68"/>
      <c r="S35" s="68"/>
    </row>
    <row r="36" spans="1:30" ht="40" customHeight="1" x14ac:dyDescent="0.35">
      <c r="B36" s="68"/>
      <c r="C36" s="117" t="s">
        <v>205</v>
      </c>
      <c r="D36" s="131" t="s">
        <v>206</v>
      </c>
      <c r="E36" s="129"/>
      <c r="F36" s="129"/>
      <c r="G36" s="129"/>
      <c r="H36" s="129"/>
      <c r="I36" s="129"/>
      <c r="J36" s="129"/>
      <c r="K36" s="129"/>
      <c r="L36" s="129"/>
      <c r="M36" s="129"/>
      <c r="N36" s="129"/>
      <c r="O36" s="129"/>
      <c r="P36" s="129"/>
      <c r="Q36" s="129"/>
      <c r="R36" s="68"/>
      <c r="S36" s="68"/>
    </row>
    <row r="37" spans="1:30" ht="40" customHeight="1" x14ac:dyDescent="0.35">
      <c r="B37" s="68"/>
      <c r="C37" s="117" t="s">
        <v>207</v>
      </c>
      <c r="D37" s="131" t="s">
        <v>208</v>
      </c>
      <c r="E37" s="129"/>
      <c r="F37" s="129"/>
      <c r="G37" s="129"/>
      <c r="H37" s="129"/>
      <c r="I37" s="129"/>
      <c r="J37" s="129"/>
      <c r="K37" s="129"/>
      <c r="L37" s="129"/>
      <c r="M37" s="129"/>
      <c r="N37" s="129"/>
      <c r="O37" s="129"/>
      <c r="P37" s="129"/>
      <c r="Q37" s="129"/>
      <c r="R37" s="68"/>
      <c r="S37" s="68"/>
    </row>
    <row r="38" spans="1:30" ht="40" customHeight="1" x14ac:dyDescent="0.35">
      <c r="C38" s="117" t="s">
        <v>209</v>
      </c>
      <c r="D38" s="131" t="s">
        <v>210</v>
      </c>
      <c r="E38" s="129"/>
      <c r="F38" s="129"/>
      <c r="G38" s="129"/>
      <c r="H38" s="129"/>
      <c r="I38" s="129"/>
      <c r="J38" s="129"/>
      <c r="K38" s="129"/>
      <c r="L38" s="129"/>
      <c r="M38" s="129"/>
      <c r="N38" s="129"/>
      <c r="O38" s="129"/>
      <c r="P38" s="129"/>
      <c r="Q38" s="129"/>
      <c r="R38" s="68"/>
      <c r="S38" s="68"/>
    </row>
    <row r="39" spans="1:30" ht="40" customHeight="1" x14ac:dyDescent="0.35">
      <c r="C39" s="117" t="s">
        <v>211</v>
      </c>
      <c r="D39" s="131" t="s">
        <v>212</v>
      </c>
      <c r="E39" s="129"/>
      <c r="F39" s="129"/>
      <c r="G39" s="129"/>
      <c r="H39" s="129"/>
      <c r="I39" s="129"/>
      <c r="J39" s="129"/>
      <c r="K39" s="129"/>
      <c r="L39" s="129"/>
      <c r="M39" s="129"/>
      <c r="N39" s="129"/>
      <c r="O39" s="129"/>
      <c r="P39" s="129"/>
      <c r="Q39" s="129"/>
    </row>
    <row r="40" spans="1:30" ht="40" customHeight="1" x14ac:dyDescent="0.35">
      <c r="A40" s="66"/>
      <c r="B40" s="66"/>
      <c r="C40" s="117" t="s">
        <v>213</v>
      </c>
      <c r="D40" s="131" t="s">
        <v>214</v>
      </c>
      <c r="E40" s="129"/>
      <c r="F40" s="129"/>
      <c r="G40" s="129"/>
      <c r="H40" s="129"/>
      <c r="I40" s="129"/>
      <c r="J40" s="129"/>
      <c r="K40" s="129"/>
      <c r="L40" s="129"/>
      <c r="M40" s="129"/>
      <c r="N40" s="129"/>
      <c r="O40" s="129"/>
      <c r="P40" s="129"/>
      <c r="Q40" s="129"/>
    </row>
    <row r="41" spans="1:30" ht="40" customHeight="1" x14ac:dyDescent="0.35">
      <c r="A41" s="67"/>
      <c r="B41" s="67"/>
      <c r="C41" s="117" t="s">
        <v>215</v>
      </c>
      <c r="D41" s="131" t="s">
        <v>216</v>
      </c>
      <c r="E41" s="129"/>
      <c r="F41" s="129"/>
      <c r="G41" s="129"/>
      <c r="H41" s="129"/>
      <c r="I41" s="129"/>
      <c r="J41" s="129"/>
      <c r="K41" s="129"/>
      <c r="L41" s="129"/>
      <c r="M41" s="129"/>
      <c r="N41" s="129"/>
      <c r="O41" s="129"/>
      <c r="P41" s="129"/>
      <c r="Q41" s="129"/>
    </row>
    <row r="42" spans="1:30" ht="40" customHeight="1" x14ac:dyDescent="0.35">
      <c r="A42" s="67"/>
      <c r="B42" s="67"/>
      <c r="C42" s="67"/>
      <c r="D42" s="67"/>
      <c r="E42" s="67"/>
      <c r="F42" s="67"/>
    </row>
    <row r="43" spans="1:30" ht="30" customHeight="1" x14ac:dyDescent="0.35">
      <c r="C43" s="130" t="s">
        <v>217</v>
      </c>
      <c r="D43" s="130"/>
      <c r="E43" s="130"/>
      <c r="F43" s="130"/>
      <c r="G43" s="130"/>
      <c r="H43" s="130"/>
      <c r="I43" s="130"/>
      <c r="J43" s="130"/>
      <c r="K43" s="130"/>
      <c r="L43" s="130"/>
      <c r="M43" s="130"/>
      <c r="N43" s="130"/>
      <c r="O43" s="130"/>
      <c r="P43" s="130"/>
      <c r="Q43" s="130"/>
    </row>
    <row r="44" spans="1:30" ht="40" customHeight="1" x14ac:dyDescent="0.35">
      <c r="C44" s="129" t="s">
        <v>220</v>
      </c>
      <c r="D44" s="129"/>
      <c r="E44" s="129"/>
      <c r="F44" s="129"/>
      <c r="G44" s="129"/>
      <c r="H44" s="129"/>
      <c r="I44" s="129"/>
      <c r="J44" s="129"/>
      <c r="K44" s="129"/>
      <c r="L44" s="129"/>
      <c r="M44" s="129"/>
      <c r="N44" s="129"/>
      <c r="O44" s="129"/>
      <c r="P44" s="129"/>
      <c r="Q44" s="129"/>
    </row>
    <row r="45" spans="1:30" ht="40" customHeight="1" x14ac:dyDescent="0.35">
      <c r="C45" s="129" t="s">
        <v>218</v>
      </c>
      <c r="D45" s="129"/>
      <c r="E45" s="129"/>
      <c r="F45" s="129"/>
      <c r="G45" s="129"/>
      <c r="H45" s="129"/>
      <c r="I45" s="129"/>
      <c r="J45" s="129"/>
      <c r="K45" s="129"/>
      <c r="L45" s="129"/>
      <c r="M45" s="129"/>
      <c r="N45" s="129"/>
      <c r="O45" s="129"/>
      <c r="P45" s="129"/>
      <c r="Q45" s="129"/>
    </row>
    <row r="46" spans="1:30" ht="40" customHeight="1" x14ac:dyDescent="0.35">
      <c r="C46" s="129" t="s">
        <v>219</v>
      </c>
      <c r="D46" s="129"/>
      <c r="E46" s="129"/>
      <c r="F46" s="129"/>
      <c r="G46" s="129"/>
      <c r="H46" s="129"/>
      <c r="I46" s="129"/>
      <c r="J46" s="129"/>
      <c r="K46" s="129"/>
      <c r="L46" s="129"/>
      <c r="M46" s="129"/>
      <c r="N46" s="129"/>
      <c r="O46" s="129"/>
      <c r="P46" s="129"/>
      <c r="Q46" s="129"/>
    </row>
    <row r="47" spans="1:30" ht="40" customHeight="1" x14ac:dyDescent="0.35"/>
    <row r="53" spans="11:11" x14ac:dyDescent="0.35">
      <c r="K53" s="97"/>
    </row>
  </sheetData>
  <mergeCells count="19">
    <mergeCell ref="C44:Q44"/>
    <mergeCell ref="C45:Q45"/>
    <mergeCell ref="C46:Q46"/>
    <mergeCell ref="C43:Q43"/>
    <mergeCell ref="C34:Q34"/>
    <mergeCell ref="D35:Q35"/>
    <mergeCell ref="D36:Q36"/>
    <mergeCell ref="D37:Q37"/>
    <mergeCell ref="D38:Q38"/>
    <mergeCell ref="D39:Q39"/>
    <mergeCell ref="D40:Q40"/>
    <mergeCell ref="D41:Q41"/>
    <mergeCell ref="S1:W1"/>
    <mergeCell ref="S2:T2"/>
    <mergeCell ref="S13:W13"/>
    <mergeCell ref="L18:M18"/>
    <mergeCell ref="L19:M19"/>
    <mergeCell ref="O18:P18"/>
    <mergeCell ref="O19:P19"/>
  </mergeCells>
  <conditionalFormatting sqref="M23:Q27">
    <cfRule type="colorScale" priority="7">
      <colorScale>
        <cfvo type="min"/>
        <cfvo type="percentile" val="50"/>
        <cfvo type="max"/>
        <color rgb="FFF4B6B6"/>
        <color rgb="FFFFFFFF"/>
        <color rgb="FFA9D8B8"/>
      </colorScale>
    </cfRule>
  </conditionalFormatting>
  <conditionalFormatting sqref="W3:W10">
    <cfRule type="containsText" dxfId="6" priority="1" operator="containsText" text="▼">
      <formula>NOT(ISERROR(SEARCH("▼",W3)))</formula>
    </cfRule>
    <cfRule type="containsText" dxfId="5" priority="2" operator="containsText" text="▼">
      <formula>NOT(ISERROR(SEARCH("▼",W3)))</formula>
    </cfRule>
    <cfRule type="containsText" dxfId="4" priority="3" operator="containsText" text="▼">
      <formula>NOT(ISERROR(SEARCH("▼",W3)))</formula>
    </cfRule>
    <cfRule type="containsText" dxfId="3" priority="4" operator="containsText" text="▼">
      <formula>NOT(ISERROR(SEARCH("▼",W3)))</formula>
    </cfRule>
    <cfRule type="containsText" dxfId="2" priority="5" operator="containsText" text="▼">
      <formula>NOT(ISERROR(SEARCH("▼",W3)))</formula>
    </cfRule>
    <cfRule type="containsText" dxfId="1" priority="6" operator="containsText" text="▼">
      <formula>NOT(ISERROR(SEARCH("▼",W3)))</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F7C8-43EF-40B5-B659-B3A80AFD61A0}">
  <dimension ref="A1:K128"/>
  <sheetViews>
    <sheetView zoomScale="73" zoomScaleNormal="76" zoomScalePageLayoutView="120" workbookViewId="0">
      <pane xSplit="1" ySplit="1" topLeftCell="B2" activePane="bottomRight" state="frozen"/>
      <selection activeCell="C4" sqref="C4"/>
      <selection pane="topRight" activeCell="C4" sqref="C4"/>
      <selection pane="bottomLeft" activeCell="C4" sqref="C4"/>
      <selection pane="bottomRight" activeCell="I10" sqref="I10"/>
    </sheetView>
  </sheetViews>
  <sheetFormatPr defaultColWidth="8.81640625" defaultRowHeight="14.5" x14ac:dyDescent="0.35"/>
  <cols>
    <col min="1" max="1" width="30.81640625" style="5" customWidth="1"/>
    <col min="2" max="11" width="13.453125" style="5" bestFit="1" customWidth="1"/>
    <col min="12" max="12" width="10.36328125" style="5" customWidth="1"/>
    <col min="13" max="13" width="10.26953125" style="5" customWidth="1"/>
    <col min="14" max="15" width="28" style="5" bestFit="1" customWidth="1"/>
    <col min="16" max="16384" width="8.81640625" style="5"/>
  </cols>
  <sheetData>
    <row r="1" spans="1:11" s="2" customFormat="1" x14ac:dyDescent="0.35">
      <c r="A1" s="2" t="s">
        <v>62</v>
      </c>
      <c r="B1" s="2" t="s">
        <v>63</v>
      </c>
      <c r="E1" s="132" t="str">
        <f>IF(B2&lt;&gt;B3, "A NEW VERSION OF THE WORKSHEET IS AVAILABLE", "")</f>
        <v/>
      </c>
      <c r="F1" s="132"/>
      <c r="G1" s="132"/>
      <c r="H1" s="132"/>
      <c r="I1" s="132"/>
      <c r="J1" s="132"/>
      <c r="K1" s="132"/>
    </row>
    <row r="2" spans="1:11" x14ac:dyDescent="0.35">
      <c r="A2" s="2" t="s">
        <v>61</v>
      </c>
      <c r="B2" s="5">
        <v>2.1</v>
      </c>
      <c r="E2" s="133" t="s">
        <v>60</v>
      </c>
      <c r="F2" s="133"/>
      <c r="G2" s="133"/>
      <c r="H2" s="133"/>
      <c r="I2" s="133"/>
      <c r="J2" s="133"/>
      <c r="K2" s="133"/>
    </row>
    <row r="3" spans="1:11" x14ac:dyDescent="0.35">
      <c r="A3" s="2" t="s">
        <v>59</v>
      </c>
      <c r="B3" s="5">
        <v>2.1</v>
      </c>
    </row>
    <row r="4" spans="1:11" x14ac:dyDescent="0.35">
      <c r="A4" s="2"/>
    </row>
    <row r="5" spans="1:11" x14ac:dyDescent="0.35">
      <c r="A5" s="2" t="s">
        <v>58</v>
      </c>
    </row>
    <row r="6" spans="1:11" x14ac:dyDescent="0.35">
      <c r="A6" s="5" t="s">
        <v>57</v>
      </c>
      <c r="B6" s="5">
        <f>IF(B9&gt;0, B9/B8, 0)</f>
        <v>95.919789029535863</v>
      </c>
    </row>
    <row r="7" spans="1:11" x14ac:dyDescent="0.35">
      <c r="A7" s="5" t="s">
        <v>56</v>
      </c>
      <c r="B7" s="1">
        <v>1</v>
      </c>
    </row>
    <row r="8" spans="1:11" x14ac:dyDescent="0.35">
      <c r="A8" s="5" t="s">
        <v>55</v>
      </c>
      <c r="B8" s="1">
        <v>2370</v>
      </c>
    </row>
    <row r="9" spans="1:11" x14ac:dyDescent="0.35">
      <c r="A9" s="5" t="s">
        <v>54</v>
      </c>
      <c r="B9" s="1">
        <v>227329.9</v>
      </c>
    </row>
    <row r="15" spans="1:11" x14ac:dyDescent="0.35">
      <c r="A15" s="2" t="s">
        <v>53</v>
      </c>
    </row>
    <row r="16" spans="1:11" s="17" customFormat="1" x14ac:dyDescent="0.35">
      <c r="A16" s="18" t="s">
        <v>36</v>
      </c>
      <c r="B16" s="4">
        <v>42825</v>
      </c>
      <c r="C16" s="4">
        <v>43190</v>
      </c>
      <c r="D16" s="4">
        <v>43555</v>
      </c>
      <c r="E16" s="4">
        <v>43921</v>
      </c>
      <c r="F16" s="4">
        <v>44286</v>
      </c>
      <c r="G16" s="4">
        <v>44651</v>
      </c>
      <c r="H16" s="4">
        <v>45016</v>
      </c>
      <c r="I16" s="4">
        <v>45382</v>
      </c>
      <c r="J16" s="4">
        <v>45747</v>
      </c>
      <c r="K16" s="4">
        <v>46112</v>
      </c>
    </row>
    <row r="17" spans="1:11" s="3" customFormat="1" x14ac:dyDescent="0.35">
      <c r="A17" s="3" t="s">
        <v>0</v>
      </c>
      <c r="B17" s="1">
        <v>15061.99</v>
      </c>
      <c r="C17" s="1">
        <v>16824.55</v>
      </c>
      <c r="D17" s="1">
        <v>19240.13</v>
      </c>
      <c r="E17" s="1">
        <v>20211.25</v>
      </c>
      <c r="F17" s="1">
        <v>21712.79</v>
      </c>
      <c r="G17" s="1">
        <v>29101.279999999999</v>
      </c>
      <c r="H17" s="1">
        <v>34488.589999999997</v>
      </c>
      <c r="I17" s="1">
        <v>35494.730000000003</v>
      </c>
      <c r="J17" s="1">
        <v>33905.620000000003</v>
      </c>
      <c r="K17" s="1">
        <v>35583.54</v>
      </c>
    </row>
    <row r="18" spans="1:11" s="3" customFormat="1" x14ac:dyDescent="0.35">
      <c r="A18" s="5" t="s">
        <v>52</v>
      </c>
      <c r="B18" s="1">
        <v>7452.6</v>
      </c>
      <c r="C18" s="1">
        <v>8128.17</v>
      </c>
      <c r="D18" s="1">
        <v>9974.4</v>
      </c>
      <c r="E18" s="1">
        <v>9981.99</v>
      </c>
      <c r="F18" s="1">
        <v>10425.549999999999</v>
      </c>
      <c r="G18" s="1">
        <v>17123.25</v>
      </c>
      <c r="H18" s="1">
        <v>18985.53</v>
      </c>
      <c r="I18" s="1">
        <v>17410.84</v>
      </c>
      <c r="J18" s="1">
        <v>17504.509999999998</v>
      </c>
      <c r="K18" s="1">
        <v>17142.009999999998</v>
      </c>
    </row>
    <row r="19" spans="1:11" s="3" customFormat="1" x14ac:dyDescent="0.35">
      <c r="A19" s="5" t="s">
        <v>51</v>
      </c>
      <c r="B19" s="1">
        <v>528.6</v>
      </c>
      <c r="C19" s="1">
        <v>-142.13</v>
      </c>
      <c r="D19" s="1">
        <v>293.26</v>
      </c>
      <c r="E19" s="1">
        <v>239.15</v>
      </c>
      <c r="F19" s="1">
        <v>92.45</v>
      </c>
      <c r="G19" s="1">
        <v>1324.97</v>
      </c>
      <c r="H19" s="1">
        <v>309.73</v>
      </c>
      <c r="I19" s="1">
        <v>-363.8</v>
      </c>
      <c r="J19" s="1">
        <v>205</v>
      </c>
      <c r="K19" s="1">
        <v>-603.67999999999995</v>
      </c>
    </row>
    <row r="20" spans="1:11" s="3" customFormat="1" x14ac:dyDescent="0.35">
      <c r="A20" s="5" t="s">
        <v>50</v>
      </c>
      <c r="B20" s="1">
        <v>106.02</v>
      </c>
      <c r="C20" s="1">
        <v>110.3</v>
      </c>
      <c r="D20" s="1">
        <v>119.63</v>
      </c>
      <c r="E20" s="1">
        <v>97.79</v>
      </c>
      <c r="F20" s="1">
        <v>86.05</v>
      </c>
      <c r="G20" s="1">
        <v>117.23</v>
      </c>
      <c r="H20" s="1">
        <v>138.29</v>
      </c>
      <c r="I20" s="1">
        <v>133.25</v>
      </c>
      <c r="J20" s="1">
        <v>148.58000000000001</v>
      </c>
      <c r="K20" s="1">
        <v>167.1</v>
      </c>
    </row>
    <row r="21" spans="1:11" s="3" customFormat="1" x14ac:dyDescent="0.35">
      <c r="A21" s="5" t="s">
        <v>49</v>
      </c>
      <c r="B21" s="1">
        <v>1662.75</v>
      </c>
      <c r="C21" s="1">
        <v>1691.68</v>
      </c>
      <c r="D21" s="1">
        <v>1862.35</v>
      </c>
      <c r="E21" s="1">
        <v>1946.12</v>
      </c>
      <c r="F21" s="1">
        <v>2068.31</v>
      </c>
      <c r="G21" s="1">
        <v>2880.45</v>
      </c>
      <c r="H21" s="1">
        <v>2916.2</v>
      </c>
      <c r="I21" s="1">
        <v>2767.18</v>
      </c>
      <c r="J21" s="1">
        <v>2687.4</v>
      </c>
      <c r="K21" s="1">
        <v>2767.11</v>
      </c>
    </row>
    <row r="22" spans="1:11" s="3" customFormat="1" x14ac:dyDescent="0.35">
      <c r="A22" s="5" t="s">
        <v>48</v>
      </c>
      <c r="B22" s="1">
        <v>1039.8900000000001</v>
      </c>
      <c r="C22" s="1">
        <v>1121.8900000000001</v>
      </c>
      <c r="D22" s="1">
        <v>1242.69</v>
      </c>
      <c r="E22" s="1">
        <v>1371.27</v>
      </c>
      <c r="F22" s="1">
        <v>1547.61</v>
      </c>
      <c r="G22" s="1">
        <v>1794.61</v>
      </c>
      <c r="H22" s="1">
        <v>2036.41</v>
      </c>
      <c r="I22" s="1">
        <v>2334.92</v>
      </c>
      <c r="J22" s="1">
        <v>2605.7800000000002</v>
      </c>
      <c r="K22" s="1">
        <v>2809.73</v>
      </c>
    </row>
    <row r="23" spans="1:11" s="3" customFormat="1" x14ac:dyDescent="0.35">
      <c r="A23" s="5" t="s">
        <v>47</v>
      </c>
      <c r="B23" s="1">
        <v>4364.04</v>
      </c>
      <c r="C23" s="1">
        <v>2254.92</v>
      </c>
      <c r="D23" s="1">
        <v>2366.87</v>
      </c>
      <c r="E23" s="1">
        <v>2311.5100000000002</v>
      </c>
      <c r="F23" s="1">
        <v>2245.69</v>
      </c>
      <c r="G23" s="1">
        <v>2941.98</v>
      </c>
      <c r="H23" s="1">
        <v>3500.84</v>
      </c>
      <c r="I23" s="1">
        <v>3811.86</v>
      </c>
      <c r="J23" s="1">
        <v>3874.94</v>
      </c>
      <c r="K23" s="1">
        <v>4112.07</v>
      </c>
    </row>
    <row r="24" spans="1:11" s="3" customFormat="1" x14ac:dyDescent="0.35">
      <c r="A24" s="5" t="s">
        <v>46</v>
      </c>
      <c r="B24" s="1">
        <v>-2028.47</v>
      </c>
      <c r="C24" s="1">
        <v>171.45</v>
      </c>
      <c r="D24" s="1">
        <v>202.51</v>
      </c>
      <c r="E24" s="1">
        <v>579.95000000000005</v>
      </c>
      <c r="F24" s="1">
        <v>576.42999999999995</v>
      </c>
      <c r="G24" s="1">
        <v>765.12</v>
      </c>
      <c r="H24" s="1">
        <v>961.21</v>
      </c>
      <c r="I24" s="1">
        <v>1087.9000000000001</v>
      </c>
      <c r="J24" s="1">
        <v>1283.2</v>
      </c>
      <c r="K24" s="1">
        <v>1282.1099999999999</v>
      </c>
    </row>
    <row r="25" spans="1:11" s="3" customFormat="1" x14ac:dyDescent="0.35">
      <c r="A25" s="3" t="s">
        <v>3</v>
      </c>
      <c r="B25" s="1">
        <v>337.9</v>
      </c>
      <c r="C25" s="1">
        <v>336.41</v>
      </c>
      <c r="D25" s="1">
        <v>273.77</v>
      </c>
      <c r="E25" s="1">
        <v>350.1</v>
      </c>
      <c r="F25" s="1">
        <v>331.65</v>
      </c>
      <c r="G25" s="1">
        <v>295.88</v>
      </c>
      <c r="H25" s="1">
        <v>431.46</v>
      </c>
      <c r="I25" s="1">
        <v>820.96</v>
      </c>
      <c r="J25" s="1">
        <v>350.22</v>
      </c>
      <c r="K25" s="1">
        <v>727.97</v>
      </c>
    </row>
    <row r="26" spans="1:11" s="3" customFormat="1" x14ac:dyDescent="0.35">
      <c r="A26" s="3" t="s">
        <v>4</v>
      </c>
      <c r="B26" s="1">
        <v>334.79</v>
      </c>
      <c r="C26" s="1">
        <v>360.47</v>
      </c>
      <c r="D26" s="1">
        <v>622.14</v>
      </c>
      <c r="E26" s="1">
        <v>780.5</v>
      </c>
      <c r="F26" s="1">
        <v>791.27</v>
      </c>
      <c r="G26" s="1">
        <v>816.36</v>
      </c>
      <c r="H26" s="1">
        <v>858.02</v>
      </c>
      <c r="I26" s="1">
        <v>853</v>
      </c>
      <c r="J26" s="1">
        <v>1026.3399999999999</v>
      </c>
      <c r="K26" s="1">
        <v>1228.8499999999999</v>
      </c>
    </row>
    <row r="27" spans="1:11" s="3" customFormat="1" x14ac:dyDescent="0.35">
      <c r="A27" s="3" t="s">
        <v>5</v>
      </c>
      <c r="B27" s="1">
        <v>37.33</v>
      </c>
      <c r="C27" s="1">
        <v>41.47</v>
      </c>
      <c r="D27" s="1">
        <v>110.47</v>
      </c>
      <c r="E27" s="1">
        <v>102.33</v>
      </c>
      <c r="F27" s="1">
        <v>91.63</v>
      </c>
      <c r="G27" s="1">
        <v>95.41</v>
      </c>
      <c r="H27" s="1">
        <v>144.44999999999999</v>
      </c>
      <c r="I27" s="1">
        <v>205.17</v>
      </c>
      <c r="J27" s="1">
        <v>227.02</v>
      </c>
      <c r="K27" s="1">
        <v>195.41</v>
      </c>
    </row>
    <row r="28" spans="1:11" s="3" customFormat="1" x14ac:dyDescent="0.35">
      <c r="A28" s="3" t="s">
        <v>6</v>
      </c>
      <c r="B28" s="1">
        <v>2959.54</v>
      </c>
      <c r="C28" s="1">
        <v>3138.48</v>
      </c>
      <c r="D28" s="1">
        <v>3306.1</v>
      </c>
      <c r="E28" s="1">
        <v>3629.04</v>
      </c>
      <c r="F28" s="1">
        <v>4304.3500000000004</v>
      </c>
      <c r="G28" s="1">
        <v>4187.72</v>
      </c>
      <c r="H28" s="1">
        <v>5688.83</v>
      </c>
      <c r="I28" s="1">
        <v>7347.77</v>
      </c>
      <c r="J28" s="1">
        <v>5103.07</v>
      </c>
      <c r="K28" s="1">
        <v>6003.44</v>
      </c>
    </row>
    <row r="29" spans="1:11" s="3" customFormat="1" x14ac:dyDescent="0.35">
      <c r="A29" s="3" t="s">
        <v>7</v>
      </c>
      <c r="B29" s="1">
        <v>943.29</v>
      </c>
      <c r="C29" s="1">
        <v>1040.96</v>
      </c>
      <c r="D29" s="1">
        <v>1098.06</v>
      </c>
      <c r="E29" s="1">
        <v>854.85</v>
      </c>
      <c r="F29" s="1">
        <v>1097.5999999999999</v>
      </c>
      <c r="G29" s="1">
        <v>1102.9100000000001</v>
      </c>
      <c r="H29" s="1">
        <v>1493.5</v>
      </c>
      <c r="I29" s="1">
        <v>1790.08</v>
      </c>
      <c r="J29" s="1">
        <v>1393.36</v>
      </c>
      <c r="K29" s="1">
        <v>1608.75</v>
      </c>
    </row>
    <row r="30" spans="1:11" s="3" customFormat="1" x14ac:dyDescent="0.35">
      <c r="A30" s="3" t="s">
        <v>8</v>
      </c>
      <c r="B30" s="1">
        <v>1939.43</v>
      </c>
      <c r="C30" s="1">
        <v>2038.93</v>
      </c>
      <c r="D30" s="1">
        <v>2155.92</v>
      </c>
      <c r="E30" s="1">
        <v>2705.17</v>
      </c>
      <c r="F30" s="1">
        <v>3139.29</v>
      </c>
      <c r="G30" s="1">
        <v>3030.57</v>
      </c>
      <c r="H30" s="1">
        <v>4106.45</v>
      </c>
      <c r="I30" s="1">
        <v>5460.23</v>
      </c>
      <c r="J30" s="1">
        <v>3667.23</v>
      </c>
      <c r="K30" s="1">
        <v>4325.3500000000004</v>
      </c>
    </row>
    <row r="31" spans="1:11" s="3" customFormat="1" x14ac:dyDescent="0.35">
      <c r="A31" s="3" t="s">
        <v>45</v>
      </c>
      <c r="B31" s="1">
        <v>987.98</v>
      </c>
      <c r="C31" s="1">
        <v>834.5</v>
      </c>
      <c r="D31" s="1">
        <v>1007.16</v>
      </c>
      <c r="E31" s="1">
        <v>1151.04</v>
      </c>
      <c r="F31" s="1">
        <v>1712.17</v>
      </c>
      <c r="G31" s="1">
        <v>1836.87</v>
      </c>
      <c r="H31" s="1">
        <v>2460.35</v>
      </c>
      <c r="I31" s="1">
        <v>3194.14</v>
      </c>
      <c r="J31" s="1">
        <v>2378.8200000000002</v>
      </c>
      <c r="K31" s="1">
        <v>2637.8</v>
      </c>
    </row>
    <row r="32" spans="1:11" s="3" customFormat="1" x14ac:dyDescent="0.35"/>
    <row r="33" spans="1:11" x14ac:dyDescent="0.35">
      <c r="A33" s="3"/>
    </row>
    <row r="34" spans="1:11" x14ac:dyDescent="0.35">
      <c r="A34" s="3"/>
    </row>
    <row r="35" spans="1:11" x14ac:dyDescent="0.35">
      <c r="A35" s="3"/>
    </row>
    <row r="36" spans="1:11" x14ac:dyDescent="0.35">
      <c r="A36" s="3"/>
    </row>
    <row r="37" spans="1:11" x14ac:dyDescent="0.35">
      <c r="A37" s="3"/>
    </row>
    <row r="38" spans="1:11" x14ac:dyDescent="0.35">
      <c r="A38" s="3"/>
    </row>
    <row r="39" spans="1:11" x14ac:dyDescent="0.35">
      <c r="A39" s="3"/>
    </row>
    <row r="40" spans="1:11" x14ac:dyDescent="0.35">
      <c r="A40" s="2" t="s">
        <v>44</v>
      </c>
    </row>
    <row r="41" spans="1:11" s="17" customFormat="1" x14ac:dyDescent="0.35">
      <c r="A41" s="18" t="s">
        <v>36</v>
      </c>
      <c r="B41" s="4">
        <v>45382</v>
      </c>
      <c r="C41" s="4">
        <v>45473</v>
      </c>
      <c r="D41" s="4">
        <v>45565</v>
      </c>
      <c r="E41" s="4">
        <v>45657</v>
      </c>
      <c r="F41" s="4">
        <v>45747</v>
      </c>
      <c r="G41" s="4">
        <v>45838</v>
      </c>
      <c r="H41" s="4">
        <v>45930</v>
      </c>
      <c r="I41" s="4">
        <v>46022</v>
      </c>
      <c r="J41" s="4">
        <v>46112</v>
      </c>
      <c r="K41" s="4">
        <v>46203</v>
      </c>
    </row>
    <row r="42" spans="1:11" s="3" customFormat="1" x14ac:dyDescent="0.35">
      <c r="A42" s="3" t="s">
        <v>0</v>
      </c>
      <c r="B42" s="1">
        <v>8730.76</v>
      </c>
      <c r="C42" s="1">
        <v>8969.73</v>
      </c>
      <c r="D42" s="1">
        <v>8027.54</v>
      </c>
      <c r="E42" s="1">
        <v>8549.44</v>
      </c>
      <c r="F42" s="1">
        <v>8358.91</v>
      </c>
      <c r="G42" s="1">
        <v>8938.5499999999993</v>
      </c>
      <c r="H42" s="1">
        <v>8531.27</v>
      </c>
      <c r="I42" s="1">
        <v>8867.02</v>
      </c>
      <c r="J42" s="1">
        <v>9246.7000000000007</v>
      </c>
      <c r="K42" s="1">
        <v>10541.94</v>
      </c>
    </row>
    <row r="43" spans="1:11" s="3" customFormat="1" x14ac:dyDescent="0.35">
      <c r="A43" s="3" t="s">
        <v>1</v>
      </c>
      <c r="B43" s="1">
        <v>7039.39</v>
      </c>
      <c r="C43" s="1">
        <v>7275.96</v>
      </c>
      <c r="D43" s="1">
        <v>6788.03</v>
      </c>
      <c r="E43" s="1">
        <v>6912.71</v>
      </c>
      <c r="F43" s="1">
        <v>6922.71</v>
      </c>
      <c r="G43" s="1">
        <v>7313.58</v>
      </c>
      <c r="H43" s="1">
        <v>7027.89</v>
      </c>
      <c r="I43" s="1">
        <v>7086.06</v>
      </c>
      <c r="J43" s="1">
        <v>7460.09</v>
      </c>
      <c r="K43" s="1">
        <v>8373.18</v>
      </c>
    </row>
    <row r="44" spans="1:11" s="3" customFormat="1" x14ac:dyDescent="0.35">
      <c r="A44" s="3" t="s">
        <v>3</v>
      </c>
      <c r="B44" s="1">
        <v>212.43</v>
      </c>
      <c r="C44" s="1">
        <v>192.93</v>
      </c>
      <c r="D44" s="1">
        <v>24.53</v>
      </c>
      <c r="E44" s="1">
        <v>192.82</v>
      </c>
      <c r="F44" s="1">
        <v>-60.06</v>
      </c>
      <c r="G44" s="1">
        <v>229.11</v>
      </c>
      <c r="H44" s="1">
        <v>236.94</v>
      </c>
      <c r="I44" s="1">
        <v>69.14</v>
      </c>
      <c r="J44" s="1">
        <v>196.59</v>
      </c>
      <c r="K44" s="1">
        <v>279.01</v>
      </c>
    </row>
    <row r="45" spans="1:11" s="3" customFormat="1" x14ac:dyDescent="0.35">
      <c r="A45" s="3" t="s">
        <v>4</v>
      </c>
      <c r="B45" s="1">
        <v>225.61</v>
      </c>
      <c r="C45" s="1">
        <v>227.7</v>
      </c>
      <c r="D45" s="1">
        <v>241.99</v>
      </c>
      <c r="E45" s="1">
        <v>255.55</v>
      </c>
      <c r="F45" s="1">
        <v>301.10000000000002</v>
      </c>
      <c r="G45" s="1">
        <v>300.87</v>
      </c>
      <c r="H45" s="1">
        <v>304.93</v>
      </c>
      <c r="I45" s="1">
        <v>313.07</v>
      </c>
      <c r="J45" s="1">
        <v>309.98</v>
      </c>
      <c r="K45" s="1">
        <v>304.19</v>
      </c>
    </row>
    <row r="46" spans="1:11" s="3" customFormat="1" x14ac:dyDescent="0.35">
      <c r="A46" s="3" t="s">
        <v>5</v>
      </c>
      <c r="B46" s="1">
        <v>54.1</v>
      </c>
      <c r="C46" s="1">
        <v>55.38</v>
      </c>
      <c r="D46" s="1">
        <v>63.01</v>
      </c>
      <c r="E46" s="1">
        <v>55.84</v>
      </c>
      <c r="F46" s="1">
        <v>52.79</v>
      </c>
      <c r="G46" s="1">
        <v>44.5</v>
      </c>
      <c r="H46" s="1">
        <v>43.87</v>
      </c>
      <c r="I46" s="1">
        <v>47.94</v>
      </c>
      <c r="J46" s="1">
        <v>59.1</v>
      </c>
      <c r="K46" s="1">
        <v>47.83</v>
      </c>
    </row>
    <row r="47" spans="1:11" s="3" customFormat="1" x14ac:dyDescent="0.35">
      <c r="A47" s="3" t="s">
        <v>6</v>
      </c>
      <c r="B47" s="1">
        <v>1624.09</v>
      </c>
      <c r="C47" s="1">
        <v>1603.62</v>
      </c>
      <c r="D47" s="1">
        <v>959.04</v>
      </c>
      <c r="E47" s="1">
        <v>1518.16</v>
      </c>
      <c r="F47" s="1">
        <v>1022.25</v>
      </c>
      <c r="G47" s="1">
        <v>1508.71</v>
      </c>
      <c r="H47" s="1">
        <v>1391.52</v>
      </c>
      <c r="I47" s="1">
        <v>1489.09</v>
      </c>
      <c r="J47" s="1">
        <v>1614.12</v>
      </c>
      <c r="K47" s="1">
        <v>2095.75</v>
      </c>
    </row>
    <row r="48" spans="1:11" s="3" customFormat="1" x14ac:dyDescent="0.35">
      <c r="A48" s="3" t="s">
        <v>7</v>
      </c>
      <c r="B48" s="1">
        <v>348.79</v>
      </c>
      <c r="C48" s="1">
        <v>416.83</v>
      </c>
      <c r="D48" s="1">
        <v>265.38</v>
      </c>
      <c r="E48" s="1">
        <v>389.73</v>
      </c>
      <c r="F48" s="1">
        <v>321.42</v>
      </c>
      <c r="G48" s="1">
        <v>391.66</v>
      </c>
      <c r="H48" s="1">
        <v>373.29</v>
      </c>
      <c r="I48" s="1">
        <v>415.17</v>
      </c>
      <c r="J48" s="1">
        <v>428.63</v>
      </c>
      <c r="K48" s="1">
        <v>536.29999999999995</v>
      </c>
    </row>
    <row r="49" spans="1:11" s="3" customFormat="1" x14ac:dyDescent="0.35">
      <c r="A49" s="3" t="s">
        <v>8</v>
      </c>
      <c r="B49" s="1">
        <v>1256.72</v>
      </c>
      <c r="C49" s="1">
        <v>1169.98</v>
      </c>
      <c r="D49" s="1">
        <v>694.64</v>
      </c>
      <c r="E49" s="1">
        <v>1110.48</v>
      </c>
      <c r="F49" s="1">
        <v>692.13</v>
      </c>
      <c r="G49" s="1">
        <v>1099.77</v>
      </c>
      <c r="H49" s="1">
        <v>993.59</v>
      </c>
      <c r="I49" s="1">
        <v>1059.8699999999999</v>
      </c>
      <c r="J49" s="1">
        <v>1172.1199999999999</v>
      </c>
      <c r="K49" s="1">
        <v>1539.25</v>
      </c>
    </row>
    <row r="50" spans="1:11" x14ac:dyDescent="0.35">
      <c r="A50" s="3" t="s">
        <v>2</v>
      </c>
      <c r="B50" s="1">
        <v>1691.37</v>
      </c>
      <c r="C50" s="1">
        <v>1693.77</v>
      </c>
      <c r="D50" s="1">
        <v>1239.51</v>
      </c>
      <c r="E50" s="1">
        <v>1636.73</v>
      </c>
      <c r="F50" s="1">
        <v>1436.2</v>
      </c>
      <c r="G50" s="1">
        <v>1624.97</v>
      </c>
      <c r="H50" s="1">
        <v>1503.38</v>
      </c>
      <c r="I50" s="1">
        <v>1780.96</v>
      </c>
      <c r="J50" s="1">
        <v>1786.61</v>
      </c>
      <c r="K50" s="1">
        <v>2168.7600000000002</v>
      </c>
    </row>
    <row r="51" spans="1:11" x14ac:dyDescent="0.35">
      <c r="A51" s="3"/>
    </row>
    <row r="52" spans="1:11" x14ac:dyDescent="0.35">
      <c r="A52" s="3"/>
    </row>
    <row r="53" spans="1:11" x14ac:dyDescent="0.35">
      <c r="A53" s="3"/>
    </row>
    <row r="54" spans="1:11" x14ac:dyDescent="0.35">
      <c r="A54" s="3"/>
    </row>
    <row r="55" spans="1:11" x14ac:dyDescent="0.35">
      <c r="A55" s="2" t="s">
        <v>43</v>
      </c>
    </row>
    <row r="56" spans="1:11" s="17" customFormat="1" x14ac:dyDescent="0.35">
      <c r="A56" s="18" t="s">
        <v>36</v>
      </c>
      <c r="B56" s="4">
        <v>42825</v>
      </c>
      <c r="C56" s="4">
        <v>43190</v>
      </c>
      <c r="D56" s="4">
        <v>43555</v>
      </c>
      <c r="E56" s="4">
        <v>43921</v>
      </c>
      <c r="F56" s="4">
        <v>44286</v>
      </c>
      <c r="G56" s="4">
        <v>44651</v>
      </c>
      <c r="H56" s="4">
        <v>45016</v>
      </c>
      <c r="I56" s="4">
        <v>45382</v>
      </c>
      <c r="J56" s="4">
        <v>45747</v>
      </c>
      <c r="K56" s="4">
        <v>46112</v>
      </c>
    </row>
    <row r="57" spans="1:11" x14ac:dyDescent="0.35">
      <c r="A57" s="3" t="s">
        <v>10</v>
      </c>
      <c r="B57" s="1">
        <v>95.92</v>
      </c>
      <c r="C57" s="1">
        <v>95.92</v>
      </c>
      <c r="D57" s="1">
        <v>95.92</v>
      </c>
      <c r="E57" s="1">
        <v>95.92</v>
      </c>
      <c r="F57" s="1">
        <v>95.92</v>
      </c>
      <c r="G57" s="1">
        <v>95.92</v>
      </c>
      <c r="H57" s="1">
        <v>95.92</v>
      </c>
      <c r="I57" s="1">
        <v>95.92</v>
      </c>
      <c r="J57" s="1">
        <v>95.92</v>
      </c>
      <c r="K57" s="1">
        <v>95.92</v>
      </c>
    </row>
    <row r="58" spans="1:11" x14ac:dyDescent="0.35">
      <c r="A58" s="3" t="s">
        <v>11</v>
      </c>
      <c r="B58" s="1">
        <v>7507.97</v>
      </c>
      <c r="C58" s="1">
        <v>8314.31</v>
      </c>
      <c r="D58" s="1">
        <v>9374.6299999999992</v>
      </c>
      <c r="E58" s="1">
        <v>10034.24</v>
      </c>
      <c r="F58" s="1">
        <v>12710.37</v>
      </c>
      <c r="G58" s="1">
        <v>13715.64</v>
      </c>
      <c r="H58" s="1">
        <v>15896.31</v>
      </c>
      <c r="I58" s="1">
        <v>18632.38</v>
      </c>
      <c r="J58" s="1">
        <v>19303.89</v>
      </c>
      <c r="K58" s="1">
        <v>21275.67</v>
      </c>
    </row>
    <row r="59" spans="1:11" x14ac:dyDescent="0.35">
      <c r="A59" s="3" t="s">
        <v>12</v>
      </c>
      <c r="B59" s="1">
        <v>560.34</v>
      </c>
      <c r="C59" s="1">
        <v>533.42999999999995</v>
      </c>
      <c r="D59" s="1">
        <v>1319.6</v>
      </c>
      <c r="E59" s="1">
        <v>1118.5</v>
      </c>
      <c r="F59" s="1">
        <v>1093.1199999999999</v>
      </c>
      <c r="G59" s="1">
        <v>1586.88</v>
      </c>
      <c r="H59" s="1">
        <v>1932.62</v>
      </c>
      <c r="I59" s="1">
        <v>2474.38</v>
      </c>
      <c r="J59" s="1">
        <v>2290.29</v>
      </c>
      <c r="K59" s="1">
        <v>3928.93</v>
      </c>
    </row>
    <row r="60" spans="1:11" x14ac:dyDescent="0.35">
      <c r="A60" s="3" t="s">
        <v>13</v>
      </c>
      <c r="B60" s="1">
        <v>4240.96</v>
      </c>
      <c r="C60" s="1">
        <v>4819.82</v>
      </c>
      <c r="D60" s="1">
        <v>5458.69</v>
      </c>
      <c r="E60" s="1">
        <v>4889.3100000000004</v>
      </c>
      <c r="F60" s="1">
        <v>6455.93</v>
      </c>
      <c r="G60" s="1">
        <v>7559.99</v>
      </c>
      <c r="H60" s="1">
        <v>7854.48</v>
      </c>
      <c r="I60" s="1">
        <v>8698.09</v>
      </c>
      <c r="J60" s="1">
        <v>8665.15</v>
      </c>
      <c r="K60" s="1">
        <v>9218.23</v>
      </c>
    </row>
    <row r="61" spans="1:11" s="2" customFormat="1" x14ac:dyDescent="0.35">
      <c r="A61" s="2" t="s">
        <v>14</v>
      </c>
      <c r="B61" s="1">
        <v>12405.19</v>
      </c>
      <c r="C61" s="1">
        <v>13763.48</v>
      </c>
      <c r="D61" s="1">
        <v>16248.84</v>
      </c>
      <c r="E61" s="1">
        <v>16137.97</v>
      </c>
      <c r="F61" s="1">
        <v>20355.34</v>
      </c>
      <c r="G61" s="1">
        <v>22958.43</v>
      </c>
      <c r="H61" s="1">
        <v>25779.33</v>
      </c>
      <c r="I61" s="1">
        <v>29900.77</v>
      </c>
      <c r="J61" s="1">
        <v>30355.25</v>
      </c>
      <c r="K61" s="1">
        <v>34518.75</v>
      </c>
    </row>
    <row r="62" spans="1:11" x14ac:dyDescent="0.35">
      <c r="A62" s="3" t="s">
        <v>15</v>
      </c>
      <c r="B62" s="1">
        <v>3303.74</v>
      </c>
      <c r="C62" s="1">
        <v>3732.24</v>
      </c>
      <c r="D62" s="1">
        <v>6496.56</v>
      </c>
      <c r="E62" s="1">
        <v>6272.31</v>
      </c>
      <c r="F62" s="1">
        <v>5858.52</v>
      </c>
      <c r="G62" s="1">
        <v>5519.06</v>
      </c>
      <c r="H62" s="1">
        <v>5770.46</v>
      </c>
      <c r="I62" s="1">
        <v>7146.62</v>
      </c>
      <c r="J62" s="1">
        <v>9220.1</v>
      </c>
      <c r="K62" s="1">
        <v>9640.2800000000007</v>
      </c>
    </row>
    <row r="63" spans="1:11" x14ac:dyDescent="0.35">
      <c r="A63" s="3" t="s">
        <v>16</v>
      </c>
      <c r="B63" s="1">
        <v>257.54000000000002</v>
      </c>
      <c r="C63" s="1">
        <v>1405.11</v>
      </c>
      <c r="D63" s="1">
        <v>209.67</v>
      </c>
      <c r="E63" s="1">
        <v>140.24</v>
      </c>
      <c r="F63" s="1">
        <v>182.98</v>
      </c>
      <c r="G63" s="1">
        <v>426.43</v>
      </c>
      <c r="H63" s="1">
        <v>1019.59</v>
      </c>
      <c r="I63" s="1">
        <v>2698.37</v>
      </c>
      <c r="J63" s="1">
        <v>1254.49</v>
      </c>
      <c r="K63" s="1">
        <v>1848.67</v>
      </c>
    </row>
    <row r="64" spans="1:11" x14ac:dyDescent="0.35">
      <c r="A64" s="3" t="s">
        <v>17</v>
      </c>
      <c r="B64" s="1">
        <v>2651.99</v>
      </c>
      <c r="C64" s="1">
        <v>2140.6999999999998</v>
      </c>
      <c r="D64" s="1">
        <v>2568.58</v>
      </c>
      <c r="E64" s="1">
        <v>2018.85</v>
      </c>
      <c r="F64" s="1">
        <v>4736.8</v>
      </c>
      <c r="G64" s="1">
        <v>3247.53</v>
      </c>
      <c r="H64" s="1">
        <v>4261.71</v>
      </c>
      <c r="I64" s="1">
        <v>4587.92</v>
      </c>
      <c r="J64" s="1">
        <v>4724.75</v>
      </c>
      <c r="K64" s="1">
        <v>7061.74</v>
      </c>
    </row>
    <row r="65" spans="1:11" x14ac:dyDescent="0.35">
      <c r="A65" s="3" t="s">
        <v>18</v>
      </c>
      <c r="B65" s="1">
        <v>6191.92</v>
      </c>
      <c r="C65" s="1">
        <v>6485.43</v>
      </c>
      <c r="D65" s="1">
        <v>6974.03</v>
      </c>
      <c r="E65" s="1">
        <v>7706.57</v>
      </c>
      <c r="F65" s="1">
        <v>9577.0400000000009</v>
      </c>
      <c r="G65" s="1">
        <v>13765.41</v>
      </c>
      <c r="H65" s="1">
        <v>14727.57</v>
      </c>
      <c r="I65" s="1">
        <v>15467.86</v>
      </c>
      <c r="J65" s="1">
        <v>15155.91</v>
      </c>
      <c r="K65" s="1">
        <v>15968.06</v>
      </c>
    </row>
    <row r="66" spans="1:11" s="2" customFormat="1" x14ac:dyDescent="0.35">
      <c r="A66" s="2" t="s">
        <v>14</v>
      </c>
      <c r="B66" s="1">
        <v>12405.19</v>
      </c>
      <c r="C66" s="1">
        <v>13763.48</v>
      </c>
      <c r="D66" s="1">
        <v>16248.84</v>
      </c>
      <c r="E66" s="1">
        <v>16137.97</v>
      </c>
      <c r="F66" s="1">
        <v>20355.34</v>
      </c>
      <c r="G66" s="1">
        <v>22958.43</v>
      </c>
      <c r="H66" s="1">
        <v>25779.33</v>
      </c>
      <c r="I66" s="1">
        <v>29900.77</v>
      </c>
      <c r="J66" s="1">
        <v>30355.25</v>
      </c>
      <c r="K66" s="1">
        <v>34518.75</v>
      </c>
    </row>
    <row r="67" spans="1:11" s="3" customFormat="1" x14ac:dyDescent="0.35">
      <c r="A67" s="3" t="s">
        <v>42</v>
      </c>
      <c r="B67" s="1">
        <v>1446.6</v>
      </c>
      <c r="C67" s="1">
        <v>1730.63</v>
      </c>
      <c r="D67" s="1">
        <v>1907.33</v>
      </c>
      <c r="E67" s="1">
        <v>1795.22</v>
      </c>
      <c r="F67" s="1">
        <v>2602.17</v>
      </c>
      <c r="G67" s="1">
        <v>3871.44</v>
      </c>
      <c r="H67" s="1">
        <v>4636.9399999999996</v>
      </c>
      <c r="I67" s="1">
        <v>4889.05</v>
      </c>
      <c r="J67" s="1">
        <v>4313.6499999999996</v>
      </c>
      <c r="K67" s="1">
        <v>4461.8</v>
      </c>
    </row>
    <row r="68" spans="1:11" x14ac:dyDescent="0.35">
      <c r="A68" s="3" t="s">
        <v>19</v>
      </c>
      <c r="B68" s="1">
        <v>2626.94</v>
      </c>
      <c r="C68" s="1">
        <v>2658.31</v>
      </c>
      <c r="D68" s="1">
        <v>3149.86</v>
      </c>
      <c r="E68" s="1">
        <v>3389.81</v>
      </c>
      <c r="F68" s="1">
        <v>3798.6</v>
      </c>
      <c r="G68" s="1">
        <v>6152.98</v>
      </c>
      <c r="H68" s="1">
        <v>6210.64</v>
      </c>
      <c r="I68" s="1">
        <v>5923.41</v>
      </c>
      <c r="J68" s="1">
        <v>6719.27</v>
      </c>
      <c r="K68" s="1">
        <v>5743.69</v>
      </c>
    </row>
    <row r="69" spans="1:11" x14ac:dyDescent="0.35">
      <c r="A69" s="5" t="s">
        <v>41</v>
      </c>
      <c r="B69" s="1">
        <v>801.21</v>
      </c>
      <c r="C69" s="1">
        <v>404.65</v>
      </c>
      <c r="D69" s="1">
        <v>444.88</v>
      </c>
      <c r="E69" s="1">
        <v>782.83</v>
      </c>
      <c r="F69" s="1">
        <v>610.75</v>
      </c>
      <c r="G69" s="1">
        <v>864.33</v>
      </c>
      <c r="H69" s="1">
        <v>843.82</v>
      </c>
      <c r="I69" s="1">
        <v>1084.01</v>
      </c>
      <c r="J69" s="1">
        <v>781.98</v>
      </c>
      <c r="K69" s="1">
        <v>1073.68</v>
      </c>
    </row>
    <row r="70" spans="1:11" x14ac:dyDescent="0.35">
      <c r="A70" s="5" t="s">
        <v>40</v>
      </c>
      <c r="B70" s="1">
        <v>959197790</v>
      </c>
      <c r="C70" s="1">
        <v>959197790</v>
      </c>
      <c r="D70" s="1">
        <v>959197790</v>
      </c>
      <c r="E70" s="1">
        <v>959197790</v>
      </c>
      <c r="F70" s="1">
        <v>959197790</v>
      </c>
      <c r="G70" s="1">
        <v>959197790</v>
      </c>
      <c r="H70" s="1">
        <v>959197790</v>
      </c>
      <c r="I70" s="1">
        <v>959197790</v>
      </c>
      <c r="J70" s="1">
        <v>959197790</v>
      </c>
      <c r="K70" s="1">
        <v>959197790</v>
      </c>
    </row>
    <row r="71" spans="1:11" x14ac:dyDescent="0.35">
      <c r="A71" s="5" t="s">
        <v>39</v>
      </c>
    </row>
    <row r="72" spans="1:11" x14ac:dyDescent="0.35">
      <c r="A72" s="5" t="s">
        <v>38</v>
      </c>
      <c r="B72" s="1">
        <v>1</v>
      </c>
      <c r="C72" s="1">
        <v>1</v>
      </c>
      <c r="D72" s="1">
        <v>1</v>
      </c>
      <c r="E72" s="1">
        <v>1</v>
      </c>
      <c r="F72" s="1">
        <v>1</v>
      </c>
      <c r="G72" s="1">
        <v>1</v>
      </c>
      <c r="H72" s="1">
        <v>1</v>
      </c>
      <c r="I72" s="1">
        <v>1</v>
      </c>
      <c r="J72" s="1">
        <v>1</v>
      </c>
      <c r="K72" s="1">
        <v>1</v>
      </c>
    </row>
    <row r="74" spans="1:11" x14ac:dyDescent="0.35">
      <c r="A74" s="3"/>
    </row>
    <row r="75" spans="1:11" x14ac:dyDescent="0.35">
      <c r="A75" s="3"/>
    </row>
    <row r="76" spans="1:11" x14ac:dyDescent="0.35">
      <c r="A76" s="3"/>
    </row>
    <row r="77" spans="1:11" x14ac:dyDescent="0.35">
      <c r="A77" s="3"/>
    </row>
    <row r="78" spans="1:11" x14ac:dyDescent="0.35">
      <c r="A78" s="3"/>
    </row>
    <row r="79" spans="1:11" x14ac:dyDescent="0.35">
      <c r="A79" s="3"/>
    </row>
    <row r="80" spans="1:11" x14ac:dyDescent="0.35">
      <c r="A80" s="2" t="s">
        <v>37</v>
      </c>
    </row>
    <row r="81" spans="1:11" s="17" customFormat="1" x14ac:dyDescent="0.35">
      <c r="A81" s="18" t="s">
        <v>36</v>
      </c>
      <c r="B81" s="4">
        <v>42825</v>
      </c>
      <c r="C81" s="4">
        <v>43190</v>
      </c>
      <c r="D81" s="4">
        <v>43555</v>
      </c>
      <c r="E81" s="4">
        <v>43921</v>
      </c>
      <c r="F81" s="4">
        <v>44286</v>
      </c>
      <c r="G81" s="4">
        <v>44651</v>
      </c>
      <c r="H81" s="4">
        <v>45016</v>
      </c>
      <c r="I81" s="4">
        <v>45382</v>
      </c>
      <c r="J81" s="4">
        <v>45747</v>
      </c>
      <c r="K81" s="4">
        <v>46112</v>
      </c>
    </row>
    <row r="82" spans="1:11" s="2" customFormat="1" x14ac:dyDescent="0.35">
      <c r="A82" s="3" t="s">
        <v>35</v>
      </c>
      <c r="B82" s="1">
        <v>1527.33</v>
      </c>
      <c r="C82" s="1">
        <v>2113.44</v>
      </c>
      <c r="D82" s="1">
        <v>2469.54</v>
      </c>
      <c r="E82" s="1">
        <v>3038.15</v>
      </c>
      <c r="F82" s="1">
        <v>3683.35</v>
      </c>
      <c r="G82" s="1">
        <v>986.49</v>
      </c>
      <c r="H82" s="1">
        <v>4193.43</v>
      </c>
      <c r="I82" s="1">
        <v>6103.6</v>
      </c>
      <c r="J82" s="1">
        <v>4423.96</v>
      </c>
      <c r="K82" s="1">
        <v>7088.18</v>
      </c>
    </row>
    <row r="83" spans="1:11" s="3" customFormat="1" x14ac:dyDescent="0.35">
      <c r="A83" s="3" t="s">
        <v>34</v>
      </c>
      <c r="B83" s="1">
        <v>-681.11</v>
      </c>
      <c r="C83" s="1">
        <v>-1556.14</v>
      </c>
      <c r="D83" s="1">
        <v>-917.79</v>
      </c>
      <c r="E83" s="1">
        <v>-517.91</v>
      </c>
      <c r="F83" s="1">
        <v>-540.54</v>
      </c>
      <c r="G83" s="1">
        <v>-316.75</v>
      </c>
      <c r="H83" s="1">
        <v>-1282.3399999999999</v>
      </c>
      <c r="I83" s="1">
        <v>-2548.48</v>
      </c>
      <c r="J83" s="1">
        <v>-940.91</v>
      </c>
      <c r="K83" s="1">
        <v>-1328.23</v>
      </c>
    </row>
    <row r="84" spans="1:11" s="3" customFormat="1" x14ac:dyDescent="0.35">
      <c r="A84" s="3" t="s">
        <v>33</v>
      </c>
      <c r="B84" s="1">
        <v>-756.43</v>
      </c>
      <c r="C84" s="1">
        <v>-1379.14</v>
      </c>
      <c r="D84" s="1">
        <v>-1117.46</v>
      </c>
      <c r="E84" s="1">
        <v>-2871.46</v>
      </c>
      <c r="F84" s="1">
        <v>-650.4</v>
      </c>
      <c r="G84" s="1">
        <v>-1807.61</v>
      </c>
      <c r="H84" s="1">
        <v>-2140.0500000000002</v>
      </c>
      <c r="I84" s="1">
        <v>-2982.5</v>
      </c>
      <c r="J84" s="1">
        <v>-3752.58</v>
      </c>
      <c r="K84" s="1">
        <v>-2376.5100000000002</v>
      </c>
    </row>
    <row r="85" spans="1:11" s="2" customFormat="1" x14ac:dyDescent="0.35">
      <c r="A85" s="3" t="s">
        <v>32</v>
      </c>
      <c r="B85" s="1">
        <v>89.79</v>
      </c>
      <c r="C85" s="1">
        <v>-821.84</v>
      </c>
      <c r="D85" s="1">
        <v>434.29</v>
      </c>
      <c r="E85" s="1">
        <v>-351.22</v>
      </c>
      <c r="F85" s="1">
        <v>2492.41</v>
      </c>
      <c r="G85" s="1">
        <v>-1137.8699999999999</v>
      </c>
      <c r="H85" s="1">
        <v>771.04</v>
      </c>
      <c r="I85" s="1">
        <v>572.62</v>
      </c>
      <c r="J85" s="1">
        <v>-269.52999999999997</v>
      </c>
      <c r="K85" s="1">
        <v>3383.44</v>
      </c>
    </row>
    <row r="86" spans="1:11" x14ac:dyDescent="0.35">
      <c r="A86" s="3"/>
    </row>
    <row r="87" spans="1:11" x14ac:dyDescent="0.35">
      <c r="A87" s="3"/>
    </row>
    <row r="88" spans="1:11" x14ac:dyDescent="0.35">
      <c r="A88" s="3"/>
    </row>
    <row r="89" spans="1:11" x14ac:dyDescent="0.35">
      <c r="A89" s="3"/>
    </row>
    <row r="90" spans="1:11" s="2" customFormat="1" x14ac:dyDescent="0.35">
      <c r="A90" s="2" t="s">
        <v>31</v>
      </c>
      <c r="B90" s="1">
        <v>1073.5</v>
      </c>
      <c r="C90" s="1">
        <v>1120.4000000000001</v>
      </c>
      <c r="D90" s="1">
        <v>1492.7</v>
      </c>
      <c r="E90" s="1">
        <v>1666.5</v>
      </c>
      <c r="F90" s="1">
        <v>2537.4</v>
      </c>
      <c r="G90" s="1">
        <v>3079.95</v>
      </c>
      <c r="H90" s="1">
        <v>2761.65</v>
      </c>
      <c r="I90" s="1">
        <v>2846.75</v>
      </c>
      <c r="J90" s="1">
        <v>2340.65</v>
      </c>
      <c r="K90" s="1">
        <v>2165.1999999999998</v>
      </c>
    </row>
    <row r="92" spans="1:11" s="2" customFormat="1" x14ac:dyDescent="0.35">
      <c r="A92" s="2" t="s">
        <v>30</v>
      </c>
    </row>
    <row r="93" spans="1:11" x14ac:dyDescent="0.35">
      <c r="A93" s="5" t="s">
        <v>29</v>
      </c>
      <c r="B93" s="16">
        <v>95.92</v>
      </c>
      <c r="C93" s="16">
        <v>95.92</v>
      </c>
      <c r="D93" s="16">
        <v>95.92</v>
      </c>
      <c r="E93" s="16">
        <v>95.92</v>
      </c>
      <c r="F93" s="16">
        <v>95.92</v>
      </c>
      <c r="G93" s="16">
        <v>95.92</v>
      </c>
      <c r="H93" s="16">
        <v>95.92</v>
      </c>
      <c r="I93" s="16">
        <v>95.92</v>
      </c>
      <c r="J93" s="16">
        <v>95.92</v>
      </c>
      <c r="K93" s="16">
        <v>95.92</v>
      </c>
    </row>
    <row r="96" spans="1:11" x14ac:dyDescent="0.35">
      <c r="B96" s="35">
        <v>42795</v>
      </c>
      <c r="C96" s="35">
        <v>43160</v>
      </c>
      <c r="D96" s="35">
        <v>43525</v>
      </c>
      <c r="E96" s="35">
        <v>43891</v>
      </c>
      <c r="F96" s="35">
        <v>44256</v>
      </c>
      <c r="G96" s="35">
        <v>44621</v>
      </c>
      <c r="H96" s="35">
        <v>44986</v>
      </c>
      <c r="I96" s="35">
        <v>45352</v>
      </c>
      <c r="J96" s="35">
        <v>45717</v>
      </c>
      <c r="K96" s="35">
        <v>46082</v>
      </c>
    </row>
    <row r="97" spans="1:11" x14ac:dyDescent="0.35">
      <c r="A97" s="29" t="s">
        <v>198</v>
      </c>
      <c r="B97" s="112">
        <v>1527</v>
      </c>
      <c r="C97" s="112">
        <v>2113</v>
      </c>
      <c r="D97" s="112">
        <v>2470</v>
      </c>
      <c r="E97" s="112">
        <v>3038</v>
      </c>
      <c r="F97" s="112">
        <v>3683</v>
      </c>
      <c r="G97" s="112">
        <v>986</v>
      </c>
      <c r="H97" s="112">
        <v>4193</v>
      </c>
      <c r="I97" s="112">
        <v>6104</v>
      </c>
      <c r="J97" s="112">
        <v>4424</v>
      </c>
      <c r="K97" s="112">
        <v>7088</v>
      </c>
    </row>
    <row r="98" spans="1:11" x14ac:dyDescent="0.35">
      <c r="A98" s="5" t="s">
        <v>87</v>
      </c>
      <c r="B98" s="108">
        <v>3056</v>
      </c>
      <c r="C98" s="108">
        <v>3274</v>
      </c>
      <c r="D98" s="108">
        <v>3861</v>
      </c>
      <c r="E98" s="108">
        <v>4380</v>
      </c>
      <c r="F98" s="108">
        <v>4970</v>
      </c>
      <c r="G98" s="108">
        <v>4957</v>
      </c>
      <c r="H98" s="108">
        <v>6460</v>
      </c>
      <c r="I98" s="108">
        <v>7929</v>
      </c>
      <c r="J98" s="108">
        <v>6390</v>
      </c>
      <c r="K98" s="108">
        <v>7186</v>
      </c>
    </row>
    <row r="99" spans="1:11" x14ac:dyDescent="0.35">
      <c r="A99" s="5" t="s">
        <v>42</v>
      </c>
      <c r="B99" s="109">
        <v>-475</v>
      </c>
      <c r="C99" s="109">
        <v>-483</v>
      </c>
      <c r="D99" s="109">
        <v>-205</v>
      </c>
      <c r="E99" s="109">
        <v>160</v>
      </c>
      <c r="F99" s="109">
        <v>-849</v>
      </c>
      <c r="G99" s="108">
        <v>-1326</v>
      </c>
      <c r="H99" s="109">
        <v>-834</v>
      </c>
      <c r="I99" s="109">
        <v>-362</v>
      </c>
      <c r="J99" s="109">
        <v>282</v>
      </c>
      <c r="K99" s="109">
        <v>-274</v>
      </c>
    </row>
    <row r="100" spans="1:11" x14ac:dyDescent="0.35">
      <c r="A100" s="5" t="s">
        <v>19</v>
      </c>
      <c r="B100" s="109">
        <v>-629</v>
      </c>
      <c r="C100" s="109">
        <v>-39</v>
      </c>
      <c r="D100" s="109">
        <v>-492</v>
      </c>
      <c r="E100" s="109">
        <v>-251</v>
      </c>
      <c r="F100" s="109">
        <v>-409</v>
      </c>
      <c r="G100" s="108">
        <v>-2354</v>
      </c>
      <c r="H100" s="109">
        <v>-56</v>
      </c>
      <c r="I100" s="109">
        <v>315</v>
      </c>
      <c r="J100" s="109">
        <v>-805</v>
      </c>
      <c r="K100" s="108">
        <v>976</v>
      </c>
    </row>
    <row r="101" spans="1:11" x14ac:dyDescent="0.35">
      <c r="A101" s="5" t="s">
        <v>88</v>
      </c>
      <c r="B101" s="109">
        <v>501</v>
      </c>
      <c r="C101" s="109">
        <v>442</v>
      </c>
      <c r="D101" s="109">
        <v>287</v>
      </c>
      <c r="E101" s="109">
        <v>-241</v>
      </c>
      <c r="F101" s="109">
        <v>1143</v>
      </c>
      <c r="G101" s="109">
        <v>644</v>
      </c>
      <c r="H101" s="109">
        <v>-539</v>
      </c>
      <c r="I101" s="109">
        <v>269</v>
      </c>
      <c r="J101" s="109">
        <v>-160</v>
      </c>
      <c r="K101" s="109">
        <v>396</v>
      </c>
    </row>
    <row r="102" spans="1:11" x14ac:dyDescent="0.35">
      <c r="A102" s="5" t="s">
        <v>89</v>
      </c>
      <c r="B102" s="109">
        <v>0</v>
      </c>
      <c r="C102" s="109">
        <v>0</v>
      </c>
      <c r="D102" s="109">
        <v>0</v>
      </c>
      <c r="E102" s="109">
        <v>0</v>
      </c>
      <c r="F102" s="109">
        <v>-92</v>
      </c>
      <c r="G102" s="109">
        <v>242</v>
      </c>
      <c r="H102" s="109">
        <v>657</v>
      </c>
      <c r="I102" s="109">
        <v>-212</v>
      </c>
      <c r="J102" s="109">
        <v>114</v>
      </c>
      <c r="K102" s="109">
        <v>378</v>
      </c>
    </row>
    <row r="103" spans="1:11" x14ac:dyDescent="0.35">
      <c r="A103" s="5" t="s">
        <v>90</v>
      </c>
      <c r="B103" s="109">
        <v>-603</v>
      </c>
      <c r="C103" s="109">
        <v>-80</v>
      </c>
      <c r="D103" s="109">
        <v>-410</v>
      </c>
      <c r="E103" s="109">
        <v>-331</v>
      </c>
      <c r="F103" s="109">
        <v>-206</v>
      </c>
      <c r="G103" s="109">
        <v>-2795</v>
      </c>
      <c r="H103" s="109">
        <v>-772</v>
      </c>
      <c r="I103" s="109">
        <v>10</v>
      </c>
      <c r="J103" s="109">
        <v>-570</v>
      </c>
      <c r="K103" s="109">
        <v>1476</v>
      </c>
    </row>
    <row r="104" spans="1:11" x14ac:dyDescent="0.35">
      <c r="A104" s="5" t="s">
        <v>91</v>
      </c>
      <c r="B104" s="109">
        <v>-925</v>
      </c>
      <c r="C104" s="109">
        <v>-1081</v>
      </c>
      <c r="D104" s="109">
        <v>-982</v>
      </c>
      <c r="E104" s="109">
        <v>-1011</v>
      </c>
      <c r="F104" s="109">
        <v>-1080</v>
      </c>
      <c r="G104" s="108">
        <v>-1176</v>
      </c>
      <c r="H104" s="109">
        <v>-1494</v>
      </c>
      <c r="I104" s="109">
        <v>-1835</v>
      </c>
      <c r="J104" s="109">
        <v>-1396</v>
      </c>
      <c r="K104" s="108">
        <v>-1574</v>
      </c>
    </row>
    <row r="105" spans="1:11" x14ac:dyDescent="0.35">
      <c r="A105" s="29" t="s">
        <v>196</v>
      </c>
      <c r="B105" s="113">
        <v>-681</v>
      </c>
      <c r="C105" s="113">
        <v>-1556</v>
      </c>
      <c r="D105" s="113">
        <v>-918</v>
      </c>
      <c r="E105" s="113">
        <v>-518</v>
      </c>
      <c r="F105" s="112">
        <v>-541</v>
      </c>
      <c r="G105" s="112">
        <v>-317</v>
      </c>
      <c r="H105" s="112">
        <v>-1282</v>
      </c>
      <c r="I105" s="112">
        <v>-2548</v>
      </c>
      <c r="J105" s="112">
        <v>-941</v>
      </c>
      <c r="K105" s="112">
        <v>-1328</v>
      </c>
    </row>
    <row r="106" spans="1:11" x14ac:dyDescent="0.35">
      <c r="A106" s="5" t="s">
        <v>92</v>
      </c>
      <c r="B106" s="109">
        <v>-684</v>
      </c>
      <c r="C106" s="108">
        <v>-1426</v>
      </c>
      <c r="D106" s="109">
        <v>-1151</v>
      </c>
      <c r="E106" s="109">
        <v>-414</v>
      </c>
      <c r="F106" s="109">
        <v>-289</v>
      </c>
      <c r="G106" s="109">
        <v>-551</v>
      </c>
      <c r="H106" s="108">
        <v>-1446</v>
      </c>
      <c r="I106" s="108">
        <v>-2496</v>
      </c>
      <c r="J106" s="109">
        <v>-1830</v>
      </c>
      <c r="K106" s="108">
        <v>-1487</v>
      </c>
    </row>
    <row r="107" spans="1:11" x14ac:dyDescent="0.35">
      <c r="A107" s="5" t="s">
        <v>93</v>
      </c>
      <c r="B107" s="109">
        <v>17</v>
      </c>
      <c r="C107" s="108">
        <v>17</v>
      </c>
      <c r="D107" s="108">
        <v>17</v>
      </c>
      <c r="E107" s="109">
        <v>37</v>
      </c>
      <c r="F107" s="109">
        <v>28</v>
      </c>
      <c r="G107" s="109">
        <v>40</v>
      </c>
      <c r="H107" s="108">
        <v>26</v>
      </c>
      <c r="I107" s="108">
        <v>5</v>
      </c>
      <c r="J107" s="108">
        <v>10</v>
      </c>
      <c r="K107" s="108">
        <v>3</v>
      </c>
    </row>
    <row r="108" spans="1:11" x14ac:dyDescent="0.35">
      <c r="A108" s="5" t="s">
        <v>94</v>
      </c>
      <c r="B108" s="109">
        <v>-153</v>
      </c>
      <c r="C108" s="109">
        <v>-320</v>
      </c>
      <c r="D108" s="109">
        <v>-573</v>
      </c>
      <c r="E108" s="109">
        <v>-25</v>
      </c>
      <c r="F108" s="109">
        <v>-140</v>
      </c>
      <c r="G108" s="109">
        <v>0</v>
      </c>
      <c r="H108" s="109">
        <v>-146</v>
      </c>
      <c r="I108" s="109">
        <v>-212</v>
      </c>
      <c r="J108" s="109">
        <v>-1</v>
      </c>
      <c r="K108" s="109">
        <v>0</v>
      </c>
    </row>
    <row r="109" spans="1:11" x14ac:dyDescent="0.35">
      <c r="A109" s="5" t="s">
        <v>95</v>
      </c>
      <c r="B109" s="109">
        <v>357</v>
      </c>
      <c r="C109" s="109">
        <v>362</v>
      </c>
      <c r="D109" s="109">
        <v>733</v>
      </c>
      <c r="E109" s="109">
        <v>118</v>
      </c>
      <c r="F109" s="109">
        <v>272</v>
      </c>
      <c r="G109" s="109">
        <v>207</v>
      </c>
      <c r="H109" s="109">
        <v>446</v>
      </c>
      <c r="I109" s="109">
        <v>240</v>
      </c>
      <c r="J109" s="109">
        <v>421</v>
      </c>
      <c r="K109" s="109">
        <v>1197</v>
      </c>
    </row>
    <row r="110" spans="1:11" x14ac:dyDescent="0.35">
      <c r="A110" s="5" t="s">
        <v>96</v>
      </c>
      <c r="B110" s="109">
        <v>32</v>
      </c>
      <c r="C110" s="109">
        <v>39</v>
      </c>
      <c r="D110" s="109">
        <v>40</v>
      </c>
      <c r="E110" s="109">
        <v>65</v>
      </c>
      <c r="F110" s="109">
        <v>73</v>
      </c>
      <c r="G110" s="109">
        <v>77</v>
      </c>
      <c r="H110" s="109">
        <v>87</v>
      </c>
      <c r="I110" s="109">
        <v>135</v>
      </c>
      <c r="J110" s="109">
        <v>155</v>
      </c>
      <c r="K110" s="108">
        <v>153</v>
      </c>
    </row>
    <row r="111" spans="1:11" x14ac:dyDescent="0.35">
      <c r="A111" s="5" t="s">
        <v>194</v>
      </c>
      <c r="B111" s="109">
        <v>74</v>
      </c>
      <c r="C111" s="109">
        <v>38</v>
      </c>
      <c r="D111" s="109">
        <v>40</v>
      </c>
      <c r="E111" s="109">
        <v>27</v>
      </c>
      <c r="F111" s="109">
        <v>8</v>
      </c>
      <c r="G111" s="109">
        <v>15</v>
      </c>
      <c r="H111" s="109">
        <v>56</v>
      </c>
      <c r="I111" s="109">
        <v>129</v>
      </c>
      <c r="J111" s="109">
        <v>136</v>
      </c>
      <c r="K111" s="109">
        <v>118</v>
      </c>
    </row>
    <row r="112" spans="1:11" x14ac:dyDescent="0.35">
      <c r="A112" s="5" t="s">
        <v>97</v>
      </c>
      <c r="B112" s="109">
        <v>0</v>
      </c>
      <c r="C112" s="109">
        <v>0</v>
      </c>
      <c r="D112" s="109">
        <v>0</v>
      </c>
      <c r="E112" s="109">
        <v>0</v>
      </c>
      <c r="F112" s="109">
        <v>0</v>
      </c>
      <c r="G112" s="109">
        <v>0</v>
      </c>
      <c r="H112" s="109">
        <v>-180</v>
      </c>
      <c r="I112" s="109">
        <v>0</v>
      </c>
      <c r="J112" s="109">
        <v>0</v>
      </c>
      <c r="K112" s="109">
        <v>0</v>
      </c>
    </row>
    <row r="113" spans="1:11" x14ac:dyDescent="0.35">
      <c r="A113" s="5" t="s">
        <v>199</v>
      </c>
      <c r="B113" s="109">
        <v>0</v>
      </c>
      <c r="C113" s="109">
        <v>141</v>
      </c>
      <c r="D113" s="109">
        <v>0</v>
      </c>
      <c r="E113" s="109">
        <v>17</v>
      </c>
      <c r="F113" s="109">
        <v>0</v>
      </c>
      <c r="G113" s="109">
        <v>0</v>
      </c>
      <c r="H113" s="109">
        <v>0</v>
      </c>
      <c r="I113" s="109">
        <v>0</v>
      </c>
      <c r="J113" s="109">
        <v>38</v>
      </c>
      <c r="K113" s="109">
        <v>0</v>
      </c>
    </row>
    <row r="114" spans="1:11" x14ac:dyDescent="0.35">
      <c r="A114" s="5" t="s">
        <v>98</v>
      </c>
      <c r="B114" s="109">
        <v>0</v>
      </c>
      <c r="C114" s="109">
        <v>-525</v>
      </c>
      <c r="D114" s="109">
        <v>0</v>
      </c>
      <c r="E114" s="109">
        <v>0</v>
      </c>
      <c r="F114" s="109">
        <v>0</v>
      </c>
      <c r="G114" s="109">
        <v>0</v>
      </c>
      <c r="H114" s="109">
        <v>0</v>
      </c>
      <c r="I114" s="109">
        <v>0</v>
      </c>
      <c r="J114" s="109">
        <v>0</v>
      </c>
      <c r="K114" s="109">
        <v>0</v>
      </c>
    </row>
    <row r="115" spans="1:11" x14ac:dyDescent="0.35">
      <c r="A115" s="5" t="s">
        <v>99</v>
      </c>
      <c r="B115" s="109">
        <v>-324</v>
      </c>
      <c r="C115" s="109">
        <v>118</v>
      </c>
      <c r="D115" s="109">
        <v>-24</v>
      </c>
      <c r="E115" s="109">
        <v>-343</v>
      </c>
      <c r="F115" s="109">
        <v>-493</v>
      </c>
      <c r="G115" s="109">
        <v>-105</v>
      </c>
      <c r="H115" s="109">
        <v>-126</v>
      </c>
      <c r="I115" s="109">
        <v>-350</v>
      </c>
      <c r="J115" s="109">
        <v>130</v>
      </c>
      <c r="K115" s="109">
        <v>-1312</v>
      </c>
    </row>
    <row r="116" spans="1:11" x14ac:dyDescent="0.35">
      <c r="A116" s="29" t="s">
        <v>197</v>
      </c>
      <c r="B116" s="113">
        <v>-756</v>
      </c>
      <c r="C116" s="113">
        <v>-1379</v>
      </c>
      <c r="D116" s="113">
        <v>-1117</v>
      </c>
      <c r="E116" s="113">
        <v>-2871</v>
      </c>
      <c r="F116" s="113">
        <v>-650</v>
      </c>
      <c r="G116" s="113">
        <v>-1808</v>
      </c>
      <c r="H116" s="113">
        <v>-2140</v>
      </c>
      <c r="I116" s="113">
        <v>-2982</v>
      </c>
      <c r="J116" s="113">
        <v>-3753</v>
      </c>
      <c r="K116" s="112">
        <v>-2377</v>
      </c>
    </row>
    <row r="117" spans="1:11" x14ac:dyDescent="0.35">
      <c r="A117" s="5" t="s">
        <v>195</v>
      </c>
      <c r="B117" s="109">
        <v>0</v>
      </c>
      <c r="C117" s="108">
        <v>0</v>
      </c>
      <c r="D117" s="108">
        <v>0</v>
      </c>
      <c r="E117" s="108">
        <v>0</v>
      </c>
      <c r="F117" s="109">
        <v>0</v>
      </c>
      <c r="G117" s="108">
        <v>0</v>
      </c>
      <c r="H117" s="108">
        <v>0</v>
      </c>
      <c r="I117" s="108">
        <v>1</v>
      </c>
      <c r="J117" s="108">
        <v>0</v>
      </c>
      <c r="K117" s="108">
        <v>0</v>
      </c>
    </row>
    <row r="118" spans="1:11" x14ac:dyDescent="0.35">
      <c r="A118" s="5" t="s">
        <v>100</v>
      </c>
      <c r="B118" s="109">
        <v>271</v>
      </c>
      <c r="C118" s="109">
        <v>10</v>
      </c>
      <c r="D118" s="109">
        <v>243</v>
      </c>
      <c r="E118" s="109">
        <v>18</v>
      </c>
      <c r="F118" s="109">
        <v>155</v>
      </c>
      <c r="G118" s="109">
        <v>418</v>
      </c>
      <c r="H118" s="109">
        <v>254</v>
      </c>
      <c r="I118" s="109">
        <v>101</v>
      </c>
      <c r="J118" s="109">
        <v>415</v>
      </c>
      <c r="K118" s="109">
        <v>1279</v>
      </c>
    </row>
    <row r="119" spans="1:11" x14ac:dyDescent="0.35">
      <c r="A119" s="5" t="s">
        <v>101</v>
      </c>
      <c r="B119" s="109">
        <v>-58</v>
      </c>
      <c r="C119" s="109">
        <v>-54</v>
      </c>
      <c r="D119" s="109">
        <v>-26</v>
      </c>
      <c r="E119" s="109">
        <v>-482</v>
      </c>
      <c r="F119" s="109">
        <v>-14</v>
      </c>
      <c r="G119" s="109">
        <v>-8</v>
      </c>
      <c r="H119" s="109">
        <v>-25</v>
      </c>
      <c r="I119" s="109">
        <v>-98</v>
      </c>
      <c r="J119" s="109">
        <v>-428</v>
      </c>
      <c r="K119" s="108">
        <v>-452</v>
      </c>
    </row>
    <row r="120" spans="1:11" x14ac:dyDescent="0.35">
      <c r="A120" s="5" t="s">
        <v>102</v>
      </c>
      <c r="B120" s="109">
        <v>-36</v>
      </c>
      <c r="C120" s="109">
        <v>-35</v>
      </c>
      <c r="D120" s="109">
        <v>-106</v>
      </c>
      <c r="E120" s="109">
        <v>-101</v>
      </c>
      <c r="F120" s="109">
        <v>-89</v>
      </c>
      <c r="G120" s="109">
        <v>-94</v>
      </c>
      <c r="H120" s="109">
        <v>-142</v>
      </c>
      <c r="I120" s="109">
        <v>-191</v>
      </c>
      <c r="J120" s="109">
        <v>-203</v>
      </c>
      <c r="K120" s="109">
        <v>-228</v>
      </c>
    </row>
    <row r="121" spans="1:11" x14ac:dyDescent="0.35">
      <c r="A121" s="5" t="s">
        <v>103</v>
      </c>
      <c r="B121" s="109">
        <v>-947</v>
      </c>
      <c r="C121" s="109">
        <v>-1218</v>
      </c>
      <c r="D121" s="109">
        <v>-1049</v>
      </c>
      <c r="E121" s="109">
        <v>-2121</v>
      </c>
      <c r="F121" s="109">
        <v>-499</v>
      </c>
      <c r="G121" s="109">
        <v>-1763</v>
      </c>
      <c r="H121" s="109">
        <v>-1936</v>
      </c>
      <c r="I121" s="109">
        <v>-2551</v>
      </c>
      <c r="J121" s="109">
        <v>-3140</v>
      </c>
      <c r="K121" s="109">
        <v>-2425</v>
      </c>
    </row>
    <row r="122" spans="1:11" x14ac:dyDescent="0.35">
      <c r="A122" s="5" t="s">
        <v>104</v>
      </c>
      <c r="B122" s="109">
        <v>0</v>
      </c>
      <c r="C122" s="108">
        <v>0</v>
      </c>
      <c r="D122" s="108">
        <v>-180</v>
      </c>
      <c r="E122" s="108">
        <v>-179</v>
      </c>
      <c r="F122" s="109">
        <v>-203</v>
      </c>
      <c r="G122" s="108">
        <v>-221</v>
      </c>
      <c r="H122" s="108">
        <v>-256</v>
      </c>
      <c r="I122" s="108">
        <v>-286</v>
      </c>
      <c r="J122" s="108">
        <v>-325</v>
      </c>
      <c r="K122" s="108">
        <v>-340</v>
      </c>
    </row>
    <row r="123" spans="1:11" x14ac:dyDescent="0.35">
      <c r="A123" s="5" t="s">
        <v>105</v>
      </c>
      <c r="B123" s="109">
        <v>13</v>
      </c>
      <c r="C123" s="109">
        <v>-82</v>
      </c>
      <c r="D123" s="109">
        <v>0</v>
      </c>
      <c r="E123" s="109">
        <v>-6</v>
      </c>
      <c r="F123" s="109">
        <v>0</v>
      </c>
      <c r="G123" s="109">
        <v>-140</v>
      </c>
      <c r="H123" s="109">
        <v>-36</v>
      </c>
      <c r="I123" s="109">
        <v>41</v>
      </c>
      <c r="J123" s="109">
        <v>-72</v>
      </c>
      <c r="K123" s="109">
        <v>-210</v>
      </c>
    </row>
    <row r="124" spans="1:11" x14ac:dyDescent="0.35">
      <c r="A124" s="5" t="s">
        <v>32</v>
      </c>
      <c r="B124" s="109">
        <v>90</v>
      </c>
      <c r="C124" s="109">
        <v>-822</v>
      </c>
      <c r="D124" s="109">
        <v>434</v>
      </c>
      <c r="E124" s="109">
        <v>-351</v>
      </c>
      <c r="F124" s="109">
        <v>2492</v>
      </c>
      <c r="G124" s="109">
        <v>-1138</v>
      </c>
      <c r="H124" s="109">
        <v>771</v>
      </c>
      <c r="I124" s="109">
        <v>573</v>
      </c>
      <c r="J124" s="109">
        <v>-270</v>
      </c>
      <c r="K124" s="109">
        <v>3383</v>
      </c>
    </row>
    <row r="125" spans="1:11" x14ac:dyDescent="0.35">
      <c r="A125" s="5" t="s">
        <v>106</v>
      </c>
      <c r="B125" s="109">
        <v>860</v>
      </c>
      <c r="C125" s="109">
        <v>705</v>
      </c>
      <c r="D125" s="109">
        <v>1336</v>
      </c>
      <c r="E125" s="109">
        <v>2661</v>
      </c>
      <c r="F125" s="108">
        <v>3422</v>
      </c>
      <c r="G125" s="108">
        <v>475</v>
      </c>
      <c r="H125" s="109">
        <v>2774</v>
      </c>
      <c r="I125" s="109">
        <v>3613</v>
      </c>
      <c r="J125" s="109">
        <v>2604</v>
      </c>
      <c r="K125" s="108">
        <v>5604</v>
      </c>
    </row>
    <row r="126" spans="1:11" x14ac:dyDescent="0.35">
      <c r="A126" s="5" t="s">
        <v>107</v>
      </c>
      <c r="B126" s="110">
        <v>0.82</v>
      </c>
      <c r="C126" s="110">
        <v>1</v>
      </c>
      <c r="D126" s="110">
        <v>0.92</v>
      </c>
      <c r="E126" s="110">
        <v>0.97</v>
      </c>
      <c r="F126" s="110">
        <v>0.98</v>
      </c>
      <c r="G126" s="110">
        <v>0.45</v>
      </c>
      <c r="H126" s="110">
        <v>0.91</v>
      </c>
      <c r="I126" s="110">
        <v>1.05</v>
      </c>
      <c r="J126" s="110">
        <v>0.97</v>
      </c>
      <c r="K126" s="110">
        <v>1.29</v>
      </c>
    </row>
    <row r="128" spans="1:11" x14ac:dyDescent="0.35">
      <c r="B128" s="5" t="s">
        <v>180</v>
      </c>
      <c r="C128" s="5" t="s">
        <v>181</v>
      </c>
      <c r="D128" s="5" t="s">
        <v>182</v>
      </c>
      <c r="E128" s="5" t="s">
        <v>183</v>
      </c>
      <c r="F128" s="5" t="s">
        <v>184</v>
      </c>
      <c r="G128" s="5" t="s">
        <v>185</v>
      </c>
      <c r="H128" s="5" t="s">
        <v>186</v>
      </c>
      <c r="I128" s="5" t="s">
        <v>187</v>
      </c>
      <c r="J128" s="5" t="s">
        <v>188</v>
      </c>
      <c r="K128" s="5" t="s">
        <v>189</v>
      </c>
    </row>
  </sheetData>
  <mergeCells count="2">
    <mergeCell ref="E1:K1"/>
    <mergeCell ref="E2:K2"/>
  </mergeCells>
  <phoneticPr fontId="32" type="noConversion"/>
  <conditionalFormatting sqref="E1:K1">
    <cfRule type="cellIs" dxfId="0" priority="1" operator="notEqual">
      <formula>""</formula>
    </cfRule>
  </conditionalFormatting>
  <hyperlinks>
    <hyperlink ref="E1:K1" r:id="rId1" display="https://www.screener.in/excel/" xr:uid="{E0B1B08D-7F6C-4FAE-BF91-036268890F4F}"/>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510F-024C-48C8-B4BE-E77826BC314A}">
  <sheetPr>
    <pageSetUpPr autoPageBreaks="0"/>
  </sheetPr>
  <dimension ref="A2:O113"/>
  <sheetViews>
    <sheetView showGridLines="0" zoomScale="78" workbookViewId="0">
      <pane ySplit="3" topLeftCell="A4" activePane="bottomLeft" state="frozen"/>
      <selection pane="bottomLeft" activeCell="O6" sqref="O6"/>
    </sheetView>
  </sheetViews>
  <sheetFormatPr defaultRowHeight="14.5" x14ac:dyDescent="0.35"/>
  <cols>
    <col min="1" max="1" width="2.1796875" customWidth="1"/>
    <col min="2" max="2" width="36" customWidth="1"/>
    <col min="3" max="13" width="12.6328125" customWidth="1"/>
  </cols>
  <sheetData>
    <row r="2" spans="1:15" x14ac:dyDescent="0.35">
      <c r="B2" s="134" t="str">
        <f xml:space="preserve"> "Historical Financial Statement -" &amp; 'Data Sheet'!B1</f>
        <v>Historical Financial Statement -ASIAN PAINTS LTD</v>
      </c>
      <c r="C2" s="134"/>
      <c r="D2" s="134"/>
      <c r="E2" s="134"/>
      <c r="F2" s="134"/>
      <c r="G2" s="134"/>
      <c r="H2" s="134"/>
      <c r="I2" s="134"/>
      <c r="J2" s="134"/>
      <c r="K2" s="134"/>
      <c r="L2" s="134"/>
      <c r="M2" s="134"/>
    </row>
    <row r="3" spans="1:15" x14ac:dyDescent="0.35">
      <c r="B3" s="7" t="s">
        <v>20</v>
      </c>
      <c r="C3" s="8">
        <f>'Data Sheet'!B16</f>
        <v>42825</v>
      </c>
      <c r="D3" s="8">
        <f>'Data Sheet'!C16</f>
        <v>43190</v>
      </c>
      <c r="E3" s="8">
        <f>'Data Sheet'!D16</f>
        <v>43555</v>
      </c>
      <c r="F3" s="8">
        <f>'Data Sheet'!E16</f>
        <v>43921</v>
      </c>
      <c r="G3" s="8">
        <f>'Data Sheet'!F16</f>
        <v>44286</v>
      </c>
      <c r="H3" s="8">
        <f>'Data Sheet'!G16</f>
        <v>44651</v>
      </c>
      <c r="I3" s="8">
        <f>'Data Sheet'!H16</f>
        <v>45016</v>
      </c>
      <c r="J3" s="8">
        <f>'Data Sheet'!I16</f>
        <v>45382</v>
      </c>
      <c r="K3" s="8">
        <f>'Data Sheet'!J16</f>
        <v>45747</v>
      </c>
      <c r="L3" s="8">
        <f>'Data Sheet'!K16</f>
        <v>46112</v>
      </c>
      <c r="M3" s="8" t="s">
        <v>21</v>
      </c>
      <c r="N3" s="6"/>
    </row>
    <row r="4" spans="1:15" s="19" customFormat="1" x14ac:dyDescent="0.35">
      <c r="A4" s="19" t="s">
        <v>23</v>
      </c>
      <c r="B4" s="19" t="s">
        <v>22</v>
      </c>
    </row>
    <row r="5" spans="1:15" s="30" customFormat="1" x14ac:dyDescent="0.35">
      <c r="B5" s="30" t="s">
        <v>0</v>
      </c>
      <c r="C5" s="30">
        <f>IFERROR('Data Sheet'!B17, 0)</f>
        <v>15061.99</v>
      </c>
      <c r="D5" s="30">
        <f>IFERROR('Data Sheet'!C17, 0)</f>
        <v>16824.55</v>
      </c>
      <c r="E5" s="30">
        <f>IFERROR('Data Sheet'!D17, 0)</f>
        <v>19240.13</v>
      </c>
      <c r="F5" s="30">
        <f>IFERROR('Data Sheet'!E17, 0)</f>
        <v>20211.25</v>
      </c>
      <c r="G5" s="30">
        <f>IFERROR('Data Sheet'!F17, 0)</f>
        <v>21712.79</v>
      </c>
      <c r="H5" s="30">
        <f>IFERROR('Data Sheet'!G17, 0)</f>
        <v>29101.279999999999</v>
      </c>
      <c r="I5" s="30">
        <f>IFERROR('Data Sheet'!H17, 0)</f>
        <v>34488.589999999997</v>
      </c>
      <c r="J5" s="30">
        <f>IFERROR('Data Sheet'!I17, 0)</f>
        <v>35494.730000000003</v>
      </c>
      <c r="K5" s="30">
        <f>IFERROR('Data Sheet'!J17, 0)</f>
        <v>33905.620000000003</v>
      </c>
      <c r="L5" s="30">
        <f>IFERROR('Data Sheet'!K17, 0)</f>
        <v>35583.54</v>
      </c>
      <c r="M5" s="30">
        <f>IFERROR(SUM('Data Sheet'!H42:K42),0)</f>
        <v>37186.93</v>
      </c>
    </row>
    <row r="6" spans="1:15" x14ac:dyDescent="0.35">
      <c r="B6" s="10" t="s">
        <v>9</v>
      </c>
      <c r="C6" s="11"/>
      <c r="D6" s="13">
        <f>D5/C5-1</f>
        <v>0.11702039371955486</v>
      </c>
      <c r="E6" s="12">
        <f t="shared" ref="E6:M6" si="0">E5/D5-1</f>
        <v>0.14357471670861943</v>
      </c>
      <c r="F6" s="12">
        <f t="shared" si="0"/>
        <v>5.0473671435691925E-2</v>
      </c>
      <c r="G6" s="12">
        <f t="shared" si="0"/>
        <v>7.4292287711052118E-2</v>
      </c>
      <c r="H6" s="12">
        <f t="shared" si="0"/>
        <v>0.34028284711453471</v>
      </c>
      <c r="I6" s="12">
        <f t="shared" si="0"/>
        <v>0.18512278497715551</v>
      </c>
      <c r="J6" s="12">
        <f t="shared" si="0"/>
        <v>2.9173126532572313E-2</v>
      </c>
      <c r="K6" s="12">
        <f t="shared" si="0"/>
        <v>-4.4770308155605121E-2</v>
      </c>
      <c r="L6" s="12">
        <f t="shared" si="0"/>
        <v>4.9487960992897317E-2</v>
      </c>
      <c r="M6" s="12">
        <f t="shared" si="0"/>
        <v>4.5059878809134757E-2</v>
      </c>
    </row>
    <row r="7" spans="1:15" x14ac:dyDescent="0.35">
      <c r="F7" s="9"/>
      <c r="G7" s="9"/>
    </row>
    <row r="8" spans="1:15" s="30" customFormat="1" x14ac:dyDescent="0.35">
      <c r="B8" s="30" t="s">
        <v>24</v>
      </c>
      <c r="C8" s="30">
        <f>IFERROR(SUM('Data Sheet'!B18,'Data Sheet'!B20:B22)-1*'Data Sheet'!B19, 0)</f>
        <v>9732.66</v>
      </c>
      <c r="D8" s="30">
        <f>IFERROR(SUM('Data Sheet'!C18,'Data Sheet'!C20:C22)-1*'Data Sheet'!C19, 0)</f>
        <v>11194.169999999998</v>
      </c>
      <c r="E8" s="30">
        <f>IFERROR(SUM('Data Sheet'!D18,'Data Sheet'!D20:D22)-1*'Data Sheet'!D19, 0)</f>
        <v>12905.81</v>
      </c>
      <c r="F8" s="30">
        <f>IFERROR(SUM('Data Sheet'!E18,'Data Sheet'!E20:E22)-1*'Data Sheet'!E19, 0)</f>
        <v>13158.020000000002</v>
      </c>
      <c r="G8" s="30">
        <f>IFERROR(SUM('Data Sheet'!F18,'Data Sheet'!F20:F22)-1*'Data Sheet'!F19, 0)</f>
        <v>14035.069999999998</v>
      </c>
      <c r="H8" s="30">
        <f>IFERROR(SUM('Data Sheet'!G18,'Data Sheet'!G20:G22)-1*'Data Sheet'!G19, 0)</f>
        <v>20590.57</v>
      </c>
      <c r="I8" s="30">
        <f>IFERROR(SUM('Data Sheet'!H18,'Data Sheet'!H20:H22)-1*'Data Sheet'!H19, 0)</f>
        <v>23766.7</v>
      </c>
      <c r="J8" s="30">
        <f>IFERROR(SUM('Data Sheet'!I18,'Data Sheet'!I20:I22)-1*'Data Sheet'!I19, 0)</f>
        <v>23009.99</v>
      </c>
      <c r="K8" s="30">
        <f>IFERROR(SUM('Data Sheet'!J18,'Data Sheet'!J20:J22)-1*'Data Sheet'!J19, 0)</f>
        <v>22741.27</v>
      </c>
      <c r="L8" s="30">
        <f>IFERROR(SUM('Data Sheet'!K18,'Data Sheet'!K20:K22)-1*'Data Sheet'!K19, 0)</f>
        <v>23489.629999999997</v>
      </c>
      <c r="M8" s="30">
        <f>IFERROR(SUM('Data Sheet'!H43:K43),0)</f>
        <v>29947.22</v>
      </c>
    </row>
    <row r="9" spans="1:15" x14ac:dyDescent="0.35">
      <c r="B9" s="10" t="s">
        <v>26</v>
      </c>
      <c r="C9" s="13">
        <f>C8/C5</f>
        <v>0.64617357998511482</v>
      </c>
      <c r="D9" s="13">
        <f t="shared" ref="D9:M9" si="1">D8/D5</f>
        <v>0.66534736441687881</v>
      </c>
      <c r="E9" s="13">
        <f t="shared" si="1"/>
        <v>0.67077561326248825</v>
      </c>
      <c r="F9" s="13">
        <f t="shared" si="1"/>
        <v>0.65102455315727636</v>
      </c>
      <c r="G9" s="13">
        <f t="shared" si="1"/>
        <v>0.64639643270164715</v>
      </c>
      <c r="H9" s="13">
        <f t="shared" si="1"/>
        <v>0.70754860267314701</v>
      </c>
      <c r="I9" s="13">
        <f t="shared" si="1"/>
        <v>0.68911776329504926</v>
      </c>
      <c r="J9" s="13">
        <f t="shared" si="1"/>
        <v>0.64826496778535858</v>
      </c>
      <c r="K9" s="13">
        <f t="shared" si="1"/>
        <v>0.67072272974214886</v>
      </c>
      <c r="L9" s="13">
        <f t="shared" si="1"/>
        <v>0.66012628310730181</v>
      </c>
      <c r="M9" s="13">
        <f t="shared" si="1"/>
        <v>0.80531573862106931</v>
      </c>
      <c r="O9" s="36"/>
    </row>
    <row r="11" spans="1:15" s="32" customFormat="1" x14ac:dyDescent="0.35">
      <c r="A11" s="31"/>
      <c r="B11" s="31" t="s">
        <v>27</v>
      </c>
      <c r="C11" s="31">
        <f>C5-C8</f>
        <v>5329.33</v>
      </c>
      <c r="D11" s="31">
        <f t="shared" ref="D11:M11" si="2">D5-D8</f>
        <v>5630.380000000001</v>
      </c>
      <c r="E11" s="31">
        <f t="shared" si="2"/>
        <v>6334.3200000000015</v>
      </c>
      <c r="F11" s="31">
        <f t="shared" si="2"/>
        <v>7053.2299999999977</v>
      </c>
      <c r="G11" s="31">
        <f t="shared" si="2"/>
        <v>7677.720000000003</v>
      </c>
      <c r="H11" s="31">
        <f t="shared" si="2"/>
        <v>8510.7099999999991</v>
      </c>
      <c r="I11" s="31">
        <f t="shared" si="2"/>
        <v>10721.889999999996</v>
      </c>
      <c r="J11" s="31">
        <f t="shared" si="2"/>
        <v>12484.740000000002</v>
      </c>
      <c r="K11" s="31">
        <f t="shared" si="2"/>
        <v>11164.350000000002</v>
      </c>
      <c r="L11" s="31">
        <f t="shared" si="2"/>
        <v>12093.910000000003</v>
      </c>
      <c r="M11" s="31">
        <f t="shared" si="2"/>
        <v>7239.7099999999991</v>
      </c>
    </row>
    <row r="12" spans="1:15" x14ac:dyDescent="0.35">
      <c r="B12" s="15" t="s">
        <v>25</v>
      </c>
      <c r="C12" s="13">
        <f>C11/C5</f>
        <v>0.35382642001488518</v>
      </c>
      <c r="D12" s="13">
        <f t="shared" ref="D12:M12" si="3">D11/D5</f>
        <v>0.33465263558312119</v>
      </c>
      <c r="E12" s="13">
        <f t="shared" si="3"/>
        <v>0.3292243867375117</v>
      </c>
      <c r="F12" s="13">
        <f t="shared" si="3"/>
        <v>0.34897544684272364</v>
      </c>
      <c r="G12" s="13">
        <f t="shared" si="3"/>
        <v>0.35360356729835285</v>
      </c>
      <c r="H12" s="13">
        <f t="shared" si="3"/>
        <v>0.29245139732685294</v>
      </c>
      <c r="I12" s="13">
        <f t="shared" si="3"/>
        <v>0.31088223670495074</v>
      </c>
      <c r="J12" s="13">
        <f t="shared" si="3"/>
        <v>0.35173503221464147</v>
      </c>
      <c r="K12" s="13">
        <f t="shared" si="3"/>
        <v>0.32927727025785108</v>
      </c>
      <c r="L12" s="13">
        <f t="shared" si="3"/>
        <v>0.33987371689269824</v>
      </c>
      <c r="M12" s="13">
        <f t="shared" si="3"/>
        <v>0.19468426137893069</v>
      </c>
    </row>
    <row r="14" spans="1:15" s="30" customFormat="1" x14ac:dyDescent="0.35">
      <c r="B14" s="30" t="s">
        <v>28</v>
      </c>
      <c r="C14" s="30">
        <f>IFERROR(SUM('Data Sheet'!B23,'Data Sheet'!B24),0)</f>
        <v>2335.5699999999997</v>
      </c>
      <c r="D14" s="30">
        <f>IFERROR(SUM('Data Sheet'!C23,'Data Sheet'!C24),0)</f>
        <v>2426.37</v>
      </c>
      <c r="E14" s="30">
        <f>IFERROR(SUM('Data Sheet'!D23,'Data Sheet'!D24),0)</f>
        <v>2569.38</v>
      </c>
      <c r="F14" s="30">
        <f>IFERROR(SUM('Data Sheet'!E23,'Data Sheet'!E24),0)</f>
        <v>2891.46</v>
      </c>
      <c r="G14" s="30">
        <f>IFERROR(SUM('Data Sheet'!F23,'Data Sheet'!F24),0)</f>
        <v>2822.12</v>
      </c>
      <c r="H14" s="30">
        <f>IFERROR(SUM('Data Sheet'!G23,'Data Sheet'!G24),0)</f>
        <v>3707.1</v>
      </c>
      <c r="I14" s="30">
        <f>IFERROR(SUM('Data Sheet'!H23,'Data Sheet'!H24),0)</f>
        <v>4462.05</v>
      </c>
      <c r="J14" s="30">
        <f>IFERROR(SUM('Data Sheet'!I23,'Data Sheet'!I24),0)</f>
        <v>4899.76</v>
      </c>
      <c r="K14" s="30">
        <f>IFERROR(SUM('Data Sheet'!J23,'Data Sheet'!J24),0)</f>
        <v>5158.1400000000003</v>
      </c>
      <c r="L14" s="30">
        <f>IFERROR(SUM('Data Sheet'!K23,'Data Sheet'!K24),0)</f>
        <v>5394.1799999999994</v>
      </c>
    </row>
    <row r="15" spans="1:15" x14ac:dyDescent="0.35">
      <c r="B15" s="15" t="s">
        <v>64</v>
      </c>
      <c r="C15" s="13">
        <f>C14/C5</f>
        <v>0.15506383950593511</v>
      </c>
      <c r="D15" s="13">
        <f t="shared" ref="D15:L15" si="4">D14/D5</f>
        <v>0.14421604143944414</v>
      </c>
      <c r="E15" s="13">
        <f t="shared" si="4"/>
        <v>0.13354275672773522</v>
      </c>
      <c r="F15" s="13">
        <f t="shared" si="4"/>
        <v>0.14306190859051271</v>
      </c>
      <c r="G15" s="13">
        <f t="shared" si="4"/>
        <v>0.12997500551518251</v>
      </c>
      <c r="H15" s="13">
        <f t="shared" si="4"/>
        <v>0.1273861493377611</v>
      </c>
      <c r="I15" s="13">
        <f t="shared" si="4"/>
        <v>0.12937757095897515</v>
      </c>
      <c r="J15" s="13">
        <f t="shared" si="4"/>
        <v>0.1380419008681007</v>
      </c>
      <c r="K15" s="13">
        <f t="shared" si="4"/>
        <v>0.15213230137068723</v>
      </c>
      <c r="L15" s="13">
        <f t="shared" si="4"/>
        <v>0.15159200012140442</v>
      </c>
    </row>
    <row r="17" spans="1:13" s="32" customFormat="1" x14ac:dyDescent="0.35">
      <c r="A17" s="31"/>
      <c r="B17" s="31" t="s">
        <v>65</v>
      </c>
      <c r="C17" s="31">
        <f>IFERROR('Historical FS'!C11-'Historical FS'!C14,0)</f>
        <v>2993.76</v>
      </c>
      <c r="D17" s="31">
        <f>IFERROR('Historical FS'!D11-'Historical FS'!D14,0)</f>
        <v>3204.0100000000011</v>
      </c>
      <c r="E17" s="31">
        <f>IFERROR('Historical FS'!E11-'Historical FS'!E14,0)</f>
        <v>3764.9400000000014</v>
      </c>
      <c r="F17" s="31">
        <f>IFERROR('Historical FS'!F11-'Historical FS'!F14,0)</f>
        <v>4161.7699999999977</v>
      </c>
      <c r="G17" s="31">
        <f>IFERROR('Historical FS'!G11-'Historical FS'!G14,0)</f>
        <v>4855.6000000000031</v>
      </c>
      <c r="H17" s="31">
        <f>IFERROR('Historical FS'!H11-'Historical FS'!H14,0)</f>
        <v>4803.6099999999988</v>
      </c>
      <c r="I17" s="31">
        <f>IFERROR('Historical FS'!I11-'Historical FS'!I14,0)</f>
        <v>6259.8399999999956</v>
      </c>
      <c r="J17" s="31">
        <f>IFERROR('Historical FS'!J11-'Historical FS'!J14,0)</f>
        <v>7584.9800000000014</v>
      </c>
      <c r="K17" s="31">
        <f>IFERROR('Historical FS'!K11-'Historical FS'!K14,0)</f>
        <v>6006.2100000000019</v>
      </c>
      <c r="L17" s="31">
        <f>IFERROR('Historical FS'!L11-'Historical FS'!L14,0)</f>
        <v>6699.7300000000041</v>
      </c>
      <c r="M17" s="31">
        <f>IFERROR(SUM('Data Sheet'!H50:K50),0)</f>
        <v>7239.71</v>
      </c>
    </row>
    <row r="18" spans="1:13" x14ac:dyDescent="0.35">
      <c r="B18" s="15" t="s">
        <v>73</v>
      </c>
      <c r="C18" s="13">
        <f>C17/C5</f>
        <v>0.19876258050895004</v>
      </c>
      <c r="D18" s="13">
        <f t="shared" ref="D18:M18" si="5">D17/D5</f>
        <v>0.19043659414367703</v>
      </c>
      <c r="E18" s="13">
        <f t="shared" si="5"/>
        <v>0.19568163000977651</v>
      </c>
      <c r="F18" s="13">
        <f t="shared" si="5"/>
        <v>0.2059135382522109</v>
      </c>
      <c r="G18" s="13">
        <f t="shared" si="5"/>
        <v>0.22362856178317034</v>
      </c>
      <c r="H18" s="13">
        <f t="shared" si="5"/>
        <v>0.16506524798909186</v>
      </c>
      <c r="I18" s="13">
        <f t="shared" si="5"/>
        <v>0.1815046657459756</v>
      </c>
      <c r="J18" s="13">
        <f t="shared" si="5"/>
        <v>0.21369313134654075</v>
      </c>
      <c r="K18" s="13">
        <f t="shared" si="5"/>
        <v>0.17714496888716388</v>
      </c>
      <c r="L18" s="13">
        <f t="shared" si="5"/>
        <v>0.18828171677129379</v>
      </c>
      <c r="M18" s="13">
        <f t="shared" si="5"/>
        <v>0.19468426137893072</v>
      </c>
    </row>
    <row r="20" spans="1:13" s="30" customFormat="1" x14ac:dyDescent="0.35">
      <c r="B20" s="30" t="s">
        <v>4</v>
      </c>
      <c r="C20" s="30">
        <f>IFERROR('Data Sheet'!B26,0)</f>
        <v>334.79</v>
      </c>
      <c r="D20" s="30">
        <f>IFERROR('Data Sheet'!C26,0)</f>
        <v>360.47</v>
      </c>
      <c r="E20" s="30">
        <f>IFERROR('Data Sheet'!D26,0)</f>
        <v>622.14</v>
      </c>
      <c r="F20" s="30">
        <f>IFERROR('Data Sheet'!E26,0)</f>
        <v>780.5</v>
      </c>
      <c r="G20" s="30">
        <f>IFERROR('Data Sheet'!F26,0)</f>
        <v>791.27</v>
      </c>
      <c r="H20" s="30">
        <f>IFERROR('Data Sheet'!G26,0)</f>
        <v>816.36</v>
      </c>
      <c r="I20" s="30">
        <f>IFERROR('Data Sheet'!H26,0)</f>
        <v>858.02</v>
      </c>
      <c r="J20" s="30">
        <f>IFERROR('Data Sheet'!I26,0)</f>
        <v>853</v>
      </c>
      <c r="K20" s="30">
        <f>IFERROR('Data Sheet'!J26,0)</f>
        <v>1026.3399999999999</v>
      </c>
      <c r="L20" s="30">
        <f>IFERROR('Data Sheet'!K26,0)</f>
        <v>1228.8499999999999</v>
      </c>
      <c r="M20" s="30">
        <f>IFERROR(SUM('Data Sheet'!H45:K45),0)</f>
        <v>1232.17</v>
      </c>
    </row>
    <row r="21" spans="1:13" x14ac:dyDescent="0.35">
      <c r="B21" s="15" t="s">
        <v>114</v>
      </c>
      <c r="C21" s="13">
        <f>C20/C5</f>
        <v>2.2227474590011016E-2</v>
      </c>
      <c r="D21" s="13">
        <f t="shared" ref="D21:M21" si="6">D20/D5</f>
        <v>2.1425238713665449E-2</v>
      </c>
      <c r="E21" s="13">
        <f t="shared" si="6"/>
        <v>3.2335540352378074E-2</v>
      </c>
      <c r="F21" s="13">
        <f t="shared" si="6"/>
        <v>3.8617106809326486E-2</v>
      </c>
      <c r="G21" s="13">
        <f t="shared" si="6"/>
        <v>3.6442576011650275E-2</v>
      </c>
      <c r="H21" s="13">
        <f t="shared" si="6"/>
        <v>2.8052374328551871E-2</v>
      </c>
      <c r="I21" s="13">
        <f t="shared" si="6"/>
        <v>2.4878372818372688E-2</v>
      </c>
      <c r="J21" s="13">
        <f t="shared" si="6"/>
        <v>2.4031736542297968E-2</v>
      </c>
      <c r="K21" s="13">
        <f t="shared" si="6"/>
        <v>3.0270497929251843E-2</v>
      </c>
      <c r="L21" s="13">
        <f t="shared" si="6"/>
        <v>3.4534225656019608E-2</v>
      </c>
      <c r="M21" s="13">
        <f t="shared" si="6"/>
        <v>3.3134491069846318E-2</v>
      </c>
    </row>
    <row r="23" spans="1:13" s="32" customFormat="1" x14ac:dyDescent="0.35">
      <c r="A23" s="31"/>
      <c r="B23" s="31" t="s">
        <v>66</v>
      </c>
      <c r="C23" s="31">
        <f>IFERROR(C17-C20,0)</f>
        <v>2658.9700000000003</v>
      </c>
      <c r="D23" s="31">
        <f t="shared" ref="D23:M23" si="7">IFERROR(D17-D20,0)</f>
        <v>2843.5400000000009</v>
      </c>
      <c r="E23" s="31">
        <f t="shared" si="7"/>
        <v>3142.8000000000015</v>
      </c>
      <c r="F23" s="31">
        <f t="shared" si="7"/>
        <v>3381.2699999999977</v>
      </c>
      <c r="G23" s="31">
        <f t="shared" si="7"/>
        <v>4064.3300000000031</v>
      </c>
      <c r="H23" s="31">
        <f t="shared" si="7"/>
        <v>3987.2499999999986</v>
      </c>
      <c r="I23" s="31">
        <f t="shared" si="7"/>
        <v>5401.8199999999961</v>
      </c>
      <c r="J23" s="31">
        <f t="shared" si="7"/>
        <v>6731.9800000000014</v>
      </c>
      <c r="K23" s="31">
        <f t="shared" si="7"/>
        <v>4979.8700000000017</v>
      </c>
      <c r="L23" s="31">
        <f t="shared" si="7"/>
        <v>5470.8800000000047</v>
      </c>
      <c r="M23" s="31">
        <f t="shared" si="7"/>
        <v>6007.54</v>
      </c>
    </row>
    <row r="24" spans="1:13" x14ac:dyDescent="0.35">
      <c r="B24" s="15" t="s">
        <v>67</v>
      </c>
      <c r="C24" s="13">
        <f>C23/C5</f>
        <v>0.17653510591893901</v>
      </c>
      <c r="D24" s="13">
        <f t="shared" ref="D24:M24" si="8">D23/D5</f>
        <v>0.16901135543001156</v>
      </c>
      <c r="E24" s="13">
        <f t="shared" si="8"/>
        <v>0.16334608965739844</v>
      </c>
      <c r="F24" s="13">
        <f t="shared" si="8"/>
        <v>0.16729643144288442</v>
      </c>
      <c r="G24" s="13">
        <f t="shared" si="8"/>
        <v>0.18718598577152007</v>
      </c>
      <c r="H24" s="13">
        <f t="shared" si="8"/>
        <v>0.13701287366053996</v>
      </c>
      <c r="I24" s="13">
        <f t="shared" si="8"/>
        <v>0.15662629292760291</v>
      </c>
      <c r="J24" s="13">
        <f t="shared" si="8"/>
        <v>0.18966139480424279</v>
      </c>
      <c r="K24" s="13">
        <f t="shared" si="8"/>
        <v>0.14687447095791203</v>
      </c>
      <c r="L24" s="13">
        <f t="shared" si="8"/>
        <v>0.15374749111527422</v>
      </c>
      <c r="M24" s="13">
        <f t="shared" si="8"/>
        <v>0.16154977030908441</v>
      </c>
    </row>
    <row r="25" spans="1:13" x14ac:dyDescent="0.35">
      <c r="B25" s="15"/>
      <c r="C25" s="13"/>
      <c r="D25" s="13"/>
      <c r="E25" s="13"/>
      <c r="F25" s="13"/>
      <c r="G25" s="13"/>
      <c r="H25" s="13"/>
      <c r="I25" s="13"/>
      <c r="J25" s="13"/>
      <c r="K25" s="13"/>
      <c r="L25" s="13"/>
      <c r="M25" s="13"/>
    </row>
    <row r="26" spans="1:13" s="30" customFormat="1" x14ac:dyDescent="0.35">
      <c r="B26" s="30" t="s">
        <v>3</v>
      </c>
      <c r="C26" s="30">
        <f>IFERROR('Data Sheet'!B25,0)</f>
        <v>337.9</v>
      </c>
      <c r="D26" s="30">
        <f>IFERROR('Data Sheet'!C25,0)</f>
        <v>336.41</v>
      </c>
      <c r="E26" s="30">
        <f>IFERROR('Data Sheet'!D25,0)</f>
        <v>273.77</v>
      </c>
      <c r="F26" s="30">
        <f>IFERROR('Data Sheet'!E25,0)</f>
        <v>350.1</v>
      </c>
      <c r="G26" s="30">
        <f>IFERROR('Data Sheet'!F25,0)</f>
        <v>331.65</v>
      </c>
      <c r="H26" s="30">
        <f>IFERROR('Data Sheet'!G25,0)</f>
        <v>295.88</v>
      </c>
      <c r="I26" s="30">
        <f>IFERROR('Data Sheet'!H25,0)</f>
        <v>431.46</v>
      </c>
      <c r="J26" s="30">
        <f>IFERROR('Data Sheet'!I25,0)</f>
        <v>820.96</v>
      </c>
      <c r="K26" s="30">
        <f>IFERROR('Data Sheet'!J25,0)</f>
        <v>350.22</v>
      </c>
      <c r="L26" s="30">
        <f>IFERROR('Data Sheet'!K25,0)</f>
        <v>727.97</v>
      </c>
      <c r="M26" s="30">
        <f>IFERROR(SUM('Data Sheet'!H44:K44),0)</f>
        <v>781.68</v>
      </c>
    </row>
    <row r="27" spans="1:13" x14ac:dyDescent="0.35">
      <c r="B27" s="15" t="s">
        <v>113</v>
      </c>
      <c r="C27" s="13">
        <f>C26/C5</f>
        <v>2.2433954610247383E-2</v>
      </c>
      <c r="D27" s="13">
        <f t="shared" ref="D27:M27" si="9">D26/D5</f>
        <v>1.9995185606747286E-2</v>
      </c>
      <c r="E27" s="13">
        <f t="shared" si="9"/>
        <v>1.422911383654892E-2</v>
      </c>
      <c r="F27" s="13">
        <f t="shared" si="9"/>
        <v>1.7322035994804873E-2</v>
      </c>
      <c r="G27" s="13">
        <f t="shared" si="9"/>
        <v>1.5274407388456295E-2</v>
      </c>
      <c r="H27" s="13">
        <f t="shared" si="9"/>
        <v>1.0167250375241226E-2</v>
      </c>
      <c r="I27" s="13">
        <f t="shared" si="9"/>
        <v>1.2510224395952401E-2</v>
      </c>
      <c r="J27" s="13">
        <f t="shared" si="9"/>
        <v>2.3129067329149988E-2</v>
      </c>
      <c r="K27" s="13">
        <f t="shared" si="9"/>
        <v>1.0329261048758288E-2</v>
      </c>
      <c r="L27" s="13">
        <f t="shared" si="9"/>
        <v>2.0458054482493871E-2</v>
      </c>
      <c r="M27" s="13">
        <f t="shared" si="9"/>
        <v>2.1020288579885457E-2</v>
      </c>
    </row>
    <row r="29" spans="1:13" s="30" customFormat="1" x14ac:dyDescent="0.35">
      <c r="B29" s="30" t="s">
        <v>5</v>
      </c>
      <c r="C29" s="30">
        <f>IFERROR('Data Sheet'!B27,0)</f>
        <v>37.33</v>
      </c>
      <c r="D29" s="30">
        <f>IFERROR('Data Sheet'!C27,0)</f>
        <v>41.47</v>
      </c>
      <c r="E29" s="30">
        <f>IFERROR('Data Sheet'!D27,0)</f>
        <v>110.47</v>
      </c>
      <c r="F29" s="30">
        <f>IFERROR('Data Sheet'!E27,0)</f>
        <v>102.33</v>
      </c>
      <c r="G29" s="30">
        <f>IFERROR('Data Sheet'!F27,0)</f>
        <v>91.63</v>
      </c>
      <c r="H29" s="30">
        <f>IFERROR('Data Sheet'!G27,0)</f>
        <v>95.41</v>
      </c>
      <c r="I29" s="30">
        <f>IFERROR('Data Sheet'!H27,0)</f>
        <v>144.44999999999999</v>
      </c>
      <c r="J29" s="30">
        <f>IFERROR('Data Sheet'!I27,0)</f>
        <v>205.17</v>
      </c>
      <c r="K29" s="30">
        <f>IFERROR('Data Sheet'!J27,0)</f>
        <v>227.02</v>
      </c>
      <c r="L29" s="30">
        <f>IFERROR('Data Sheet'!K27,0)</f>
        <v>195.41</v>
      </c>
      <c r="M29" s="30">
        <f>IFERROR(SUM('Data Sheet'!H46:K46),0)</f>
        <v>198.74</v>
      </c>
    </row>
    <row r="30" spans="1:13" x14ac:dyDescent="0.35">
      <c r="B30" s="15" t="s">
        <v>115</v>
      </c>
      <c r="C30" s="13">
        <f>C29/C5</f>
        <v>2.4784241657310885E-3</v>
      </c>
      <c r="D30" s="13">
        <f t="shared" ref="D30:M30" si="10">D29/D5</f>
        <v>2.4648504714836358E-3</v>
      </c>
      <c r="E30" s="13">
        <f t="shared" si="10"/>
        <v>5.7416451967840128E-3</v>
      </c>
      <c r="F30" s="13">
        <f t="shared" si="10"/>
        <v>5.0630218319005502E-3</v>
      </c>
      <c r="G30" s="13">
        <f t="shared" si="10"/>
        <v>4.2200933182700148E-3</v>
      </c>
      <c r="H30" s="13">
        <f t="shared" si="10"/>
        <v>3.2785499469439143E-3</v>
      </c>
      <c r="I30" s="13">
        <f t="shared" si="10"/>
        <v>4.1883417095335005E-3</v>
      </c>
      <c r="J30" s="13">
        <f t="shared" si="10"/>
        <v>5.7802947085384216E-3</v>
      </c>
      <c r="K30" s="13">
        <f t="shared" si="10"/>
        <v>6.6956451467337858E-3</v>
      </c>
      <c r="L30" s="13">
        <f t="shared" si="10"/>
        <v>5.4915840301442741E-3</v>
      </c>
      <c r="M30" s="13">
        <f t="shared" si="10"/>
        <v>5.3443508243353243E-3</v>
      </c>
    </row>
    <row r="32" spans="1:13" s="32" customFormat="1" x14ac:dyDescent="0.35">
      <c r="A32" s="31"/>
      <c r="B32" s="31" t="s">
        <v>70</v>
      </c>
      <c r="C32" s="31">
        <f>C23+C26-C29</f>
        <v>2959.5400000000004</v>
      </c>
      <c r="D32" s="31">
        <f t="shared" ref="D32:M32" si="11">D23+D26-D29</f>
        <v>3138.4800000000009</v>
      </c>
      <c r="E32" s="31">
        <f t="shared" si="11"/>
        <v>3306.1000000000017</v>
      </c>
      <c r="F32" s="31">
        <f t="shared" si="11"/>
        <v>3629.0399999999977</v>
      </c>
      <c r="G32" s="31">
        <f t="shared" si="11"/>
        <v>4304.3500000000031</v>
      </c>
      <c r="H32" s="31">
        <f t="shared" si="11"/>
        <v>4187.7199999999984</v>
      </c>
      <c r="I32" s="31">
        <f t="shared" si="11"/>
        <v>5688.8299999999963</v>
      </c>
      <c r="J32" s="31">
        <f t="shared" si="11"/>
        <v>7347.7700000000013</v>
      </c>
      <c r="K32" s="31">
        <f t="shared" si="11"/>
        <v>5103.0700000000015</v>
      </c>
      <c r="L32" s="31">
        <f t="shared" si="11"/>
        <v>6003.4400000000051</v>
      </c>
      <c r="M32" s="31">
        <f t="shared" si="11"/>
        <v>6590.4800000000005</v>
      </c>
    </row>
    <row r="33" spans="1:13" x14ac:dyDescent="0.35">
      <c r="B33" s="15" t="s">
        <v>116</v>
      </c>
      <c r="C33" s="13">
        <f>C32/C5</f>
        <v>0.19649063636345532</v>
      </c>
      <c r="D33" s="13">
        <f t="shared" ref="D33:M33" si="12">D32/D5</f>
        <v>0.18654169056527523</v>
      </c>
      <c r="E33" s="13">
        <f t="shared" si="12"/>
        <v>0.17183355829716335</v>
      </c>
      <c r="F33" s="13">
        <f t="shared" si="12"/>
        <v>0.17955544560578873</v>
      </c>
      <c r="G33" s="13">
        <f t="shared" si="12"/>
        <v>0.19824029984170632</v>
      </c>
      <c r="H33" s="13">
        <f t="shared" si="12"/>
        <v>0.14390157408883728</v>
      </c>
      <c r="I33" s="13">
        <f t="shared" si="12"/>
        <v>0.16494817561402181</v>
      </c>
      <c r="J33" s="13">
        <f t="shared" si="12"/>
        <v>0.20701016742485437</v>
      </c>
      <c r="K33" s="13">
        <f t="shared" si="12"/>
        <v>0.15050808685993652</v>
      </c>
      <c r="L33" s="13">
        <f t="shared" si="12"/>
        <v>0.16871396156762383</v>
      </c>
      <c r="M33" s="13">
        <f t="shared" si="12"/>
        <v>0.17722570806463456</v>
      </c>
    </row>
    <row r="35" spans="1:13" s="30" customFormat="1" x14ac:dyDescent="0.35">
      <c r="B35" s="30" t="s">
        <v>7</v>
      </c>
      <c r="C35" s="30">
        <f>IFERROR('Data Sheet'!B29,0)</f>
        <v>943.29</v>
      </c>
      <c r="D35" s="30">
        <f>IFERROR('Data Sheet'!C29,0)</f>
        <v>1040.96</v>
      </c>
      <c r="E35" s="30">
        <f>IFERROR('Data Sheet'!D29,0)</f>
        <v>1098.06</v>
      </c>
      <c r="F35" s="30">
        <f>IFERROR('Data Sheet'!E29,0)</f>
        <v>854.85</v>
      </c>
      <c r="G35" s="30">
        <f>IFERROR('Data Sheet'!F29,0)</f>
        <v>1097.5999999999999</v>
      </c>
      <c r="H35" s="30">
        <f>IFERROR('Data Sheet'!G29,0)</f>
        <v>1102.9100000000001</v>
      </c>
      <c r="I35" s="30">
        <f>IFERROR('Data Sheet'!H29,0)</f>
        <v>1493.5</v>
      </c>
      <c r="J35" s="30">
        <f>IFERROR('Data Sheet'!I29,0)</f>
        <v>1790.08</v>
      </c>
      <c r="K35" s="30">
        <f>IFERROR('Data Sheet'!J29,0)</f>
        <v>1393.36</v>
      </c>
      <c r="L35" s="30">
        <f>IFERROR('Data Sheet'!K29,0)</f>
        <v>1608.75</v>
      </c>
      <c r="M35" s="30">
        <f>IFERROR(SUM('Data Sheet'!H48:K48),0)</f>
        <v>1753.39</v>
      </c>
    </row>
    <row r="36" spans="1:13" x14ac:dyDescent="0.35">
      <c r="B36" s="15" t="s">
        <v>71</v>
      </c>
      <c r="C36" s="13">
        <f>C35/C32</f>
        <v>0.31872858619920658</v>
      </c>
      <c r="D36" s="13">
        <f t="shared" ref="D36:M36" si="13">D35/D32</f>
        <v>0.33167648033442931</v>
      </c>
      <c r="E36" s="13">
        <f t="shared" si="13"/>
        <v>0.33213151447324624</v>
      </c>
      <c r="F36" s="13">
        <f t="shared" si="13"/>
        <v>0.23555816414258332</v>
      </c>
      <c r="G36" s="13">
        <f t="shared" si="13"/>
        <v>0.25499785101118616</v>
      </c>
      <c r="H36" s="13">
        <f t="shared" si="13"/>
        <v>0.26336765590822703</v>
      </c>
      <c r="I36" s="13">
        <f t="shared" si="13"/>
        <v>0.26253201449155644</v>
      </c>
      <c r="J36" s="13">
        <f t="shared" si="13"/>
        <v>0.2436222146311057</v>
      </c>
      <c r="K36" s="13">
        <f t="shared" si="13"/>
        <v>0.27304348166887765</v>
      </c>
      <c r="L36" s="13">
        <f t="shared" si="13"/>
        <v>0.26797136308516428</v>
      </c>
      <c r="M36" s="13">
        <f t="shared" si="13"/>
        <v>0.26604890690814631</v>
      </c>
    </row>
    <row r="37" spans="1:13" x14ac:dyDescent="0.35">
      <c r="B37" s="15" t="s">
        <v>192</v>
      </c>
      <c r="C37" s="103">
        <f>C39-(C32-C35)</f>
        <v>-76.820000000000391</v>
      </c>
      <c r="D37" s="103">
        <f t="shared" ref="D37:M37" si="14">D39-(D32-D35)</f>
        <v>-58.590000000000828</v>
      </c>
      <c r="E37" s="103">
        <f t="shared" si="14"/>
        <v>-52.12000000000171</v>
      </c>
      <c r="F37" s="103">
        <f t="shared" si="14"/>
        <v>-69.019999999997708</v>
      </c>
      <c r="G37" s="103">
        <f t="shared" si="14"/>
        <v>-67.46000000000322</v>
      </c>
      <c r="H37" s="103">
        <f t="shared" si="14"/>
        <v>-54.239999999998417</v>
      </c>
      <c r="I37" s="103">
        <f t="shared" si="14"/>
        <v>-88.879999999996471</v>
      </c>
      <c r="J37" s="103">
        <f t="shared" si="14"/>
        <v>-97.460000000001855</v>
      </c>
      <c r="K37" s="103">
        <f t="shared" si="14"/>
        <v>-42.480000000001837</v>
      </c>
      <c r="L37" s="103">
        <f t="shared" si="14"/>
        <v>-69.340000000004693</v>
      </c>
      <c r="M37" s="103">
        <f t="shared" si="14"/>
        <v>-72.260000000000218</v>
      </c>
    </row>
    <row r="39" spans="1:13" s="32" customFormat="1" x14ac:dyDescent="0.35">
      <c r="A39" s="31"/>
      <c r="B39" s="31" t="s">
        <v>69</v>
      </c>
      <c r="C39" s="31">
        <f>IFERROR('Data Sheet'!B30,0)</f>
        <v>1939.43</v>
      </c>
      <c r="D39" s="31">
        <f>IFERROR('Data Sheet'!C30,0)</f>
        <v>2038.93</v>
      </c>
      <c r="E39" s="31">
        <f>IFERROR('Data Sheet'!D30,0)</f>
        <v>2155.92</v>
      </c>
      <c r="F39" s="31">
        <f>IFERROR('Data Sheet'!E30,0)</f>
        <v>2705.17</v>
      </c>
      <c r="G39" s="31">
        <f>IFERROR('Data Sheet'!F30,0)</f>
        <v>3139.29</v>
      </c>
      <c r="H39" s="31">
        <f>IFERROR('Data Sheet'!G30,0)</f>
        <v>3030.57</v>
      </c>
      <c r="I39" s="31">
        <f>IFERROR('Data Sheet'!H30,0)</f>
        <v>4106.45</v>
      </c>
      <c r="J39" s="31">
        <f>IFERROR('Data Sheet'!I30,0)</f>
        <v>5460.23</v>
      </c>
      <c r="K39" s="31">
        <f>IFERROR('Data Sheet'!J30,0)</f>
        <v>3667.23</v>
      </c>
      <c r="L39" s="31">
        <f>IFERROR('Data Sheet'!K30,0)</f>
        <v>4325.3500000000004</v>
      </c>
      <c r="M39" s="31">
        <f>SUM('Data Sheet'!H49:K49)</f>
        <v>4764.83</v>
      </c>
    </row>
    <row r="40" spans="1:13" x14ac:dyDescent="0.35">
      <c r="B40" s="15" t="s">
        <v>72</v>
      </c>
      <c r="C40" s="13">
        <f>C39/C5</f>
        <v>0.12876319795724203</v>
      </c>
      <c r="D40" s="13">
        <f t="shared" ref="D40:M40" si="15">D39/D5</f>
        <v>0.12118778808348515</v>
      </c>
      <c r="E40" s="13">
        <f t="shared" si="15"/>
        <v>0.11205329693718286</v>
      </c>
      <c r="F40" s="13">
        <f t="shared" si="15"/>
        <v>0.13384476467313997</v>
      </c>
      <c r="G40" s="13">
        <f t="shared" si="15"/>
        <v>0.14458252486207437</v>
      </c>
      <c r="H40" s="13">
        <f t="shared" si="15"/>
        <v>0.10413871829692715</v>
      </c>
      <c r="I40" s="13">
        <f t="shared" si="15"/>
        <v>0.11906691459407301</v>
      </c>
      <c r="J40" s="13">
        <f t="shared" si="15"/>
        <v>0.15383213226301479</v>
      </c>
      <c r="K40" s="13">
        <f t="shared" si="15"/>
        <v>0.10815994516543274</v>
      </c>
      <c r="L40" s="13">
        <f t="shared" si="15"/>
        <v>0.12155479752717127</v>
      </c>
      <c r="M40" s="13">
        <f t="shared" si="15"/>
        <v>0.128131846323426</v>
      </c>
    </row>
    <row r="42" spans="1:13" s="30" customFormat="1" x14ac:dyDescent="0.35">
      <c r="B42" s="30" t="s">
        <v>40</v>
      </c>
      <c r="C42" s="30">
        <f>IFERROR('Data Sheet'!B93,0)</f>
        <v>95.92</v>
      </c>
      <c r="D42" s="30">
        <f>IFERROR('Data Sheet'!C93,0)</f>
        <v>95.92</v>
      </c>
      <c r="E42" s="30">
        <f>IFERROR('Data Sheet'!D93,0)</f>
        <v>95.92</v>
      </c>
      <c r="F42" s="30">
        <f>IFERROR('Data Sheet'!E93,0)</f>
        <v>95.92</v>
      </c>
      <c r="G42" s="30">
        <f>IFERROR('Data Sheet'!F93,0)</f>
        <v>95.92</v>
      </c>
      <c r="H42" s="30">
        <f>IFERROR('Data Sheet'!G93,0)</f>
        <v>95.92</v>
      </c>
      <c r="I42" s="104">
        <f>IFERROR('Data Sheet'!H93,0)</f>
        <v>95.92</v>
      </c>
      <c r="J42" s="30">
        <f>IFERROR('Data Sheet'!I93,0)</f>
        <v>95.92</v>
      </c>
      <c r="K42" s="30">
        <f>IFERROR('Data Sheet'!J93,0)</f>
        <v>95.92</v>
      </c>
      <c r="L42" s="30">
        <f>IFERROR('Data Sheet'!K93,0)</f>
        <v>95.92</v>
      </c>
      <c r="M42" s="30">
        <f>IFERROR('Data Sheet'!K93,0)</f>
        <v>95.92</v>
      </c>
    </row>
    <row r="44" spans="1:13" s="30" customFormat="1" x14ac:dyDescent="0.35">
      <c r="B44" s="30" t="s">
        <v>74</v>
      </c>
      <c r="C44" s="30">
        <f>C39/C42</f>
        <v>20.219245204336946</v>
      </c>
      <c r="D44" s="30">
        <f t="shared" ref="D44:M44" si="16">D39/D42</f>
        <v>21.256567973311093</v>
      </c>
      <c r="E44" s="30">
        <f t="shared" si="16"/>
        <v>22.476230191826524</v>
      </c>
      <c r="F44" s="30">
        <f t="shared" si="16"/>
        <v>28.202356130108424</v>
      </c>
      <c r="G44" s="30">
        <f t="shared" si="16"/>
        <v>32.728211009174309</v>
      </c>
      <c r="H44" s="30">
        <f t="shared" si="16"/>
        <v>31.594766472060051</v>
      </c>
      <c r="I44" s="30">
        <f t="shared" si="16"/>
        <v>42.811196830692239</v>
      </c>
      <c r="J44" s="30">
        <f t="shared" si="16"/>
        <v>56.924833194328599</v>
      </c>
      <c r="K44" s="30">
        <f t="shared" si="16"/>
        <v>38.232172643869895</v>
      </c>
      <c r="L44" s="30">
        <f t="shared" si="16"/>
        <v>45.093306922435367</v>
      </c>
      <c r="M44" s="30">
        <f t="shared" si="16"/>
        <v>49.675041701417847</v>
      </c>
    </row>
    <row r="45" spans="1:13" s="33" customFormat="1" x14ac:dyDescent="0.35">
      <c r="A45" s="15"/>
      <c r="B45" s="15" t="s">
        <v>76</v>
      </c>
      <c r="C45" s="13"/>
      <c r="D45" s="13">
        <f>D44/C44-1</f>
        <v>5.130373357120388E-2</v>
      </c>
      <c r="E45" s="13">
        <f t="shared" ref="E45:M45" si="17">E44/D44-1</f>
        <v>5.7378134609819886E-2</v>
      </c>
      <c r="F45" s="13">
        <f t="shared" si="17"/>
        <v>0.25476362759286042</v>
      </c>
      <c r="G45" s="13">
        <f t="shared" si="17"/>
        <v>0.16047789972534066</v>
      </c>
      <c r="H45" s="13">
        <f t="shared" si="17"/>
        <v>-3.4632034632034459E-2</v>
      </c>
      <c r="I45" s="13">
        <f t="shared" si="17"/>
        <v>0.35500912369620208</v>
      </c>
      <c r="J45" s="13">
        <f t="shared" si="17"/>
        <v>0.32967161416795521</v>
      </c>
      <c r="K45" s="13">
        <f t="shared" si="17"/>
        <v>-0.32837444576510499</v>
      </c>
      <c r="L45" s="13">
        <f t="shared" si="17"/>
        <v>0.17945970119136234</v>
      </c>
      <c r="M45" s="13">
        <f t="shared" si="17"/>
        <v>0.1016056504097933</v>
      </c>
    </row>
    <row r="47" spans="1:13" s="30" customFormat="1" x14ac:dyDescent="0.35">
      <c r="B47" s="30" t="s">
        <v>75</v>
      </c>
      <c r="C47" s="30">
        <f>IFERROR('Data Sheet'!B31/'Historical FS'!C42,0)</f>
        <v>10.300041701417848</v>
      </c>
      <c r="D47" s="30">
        <f>IFERROR('Data Sheet'!C31/'Historical FS'!D42,0)</f>
        <v>8.6999582985821515</v>
      </c>
      <c r="E47" s="30">
        <f>IFERROR('Data Sheet'!D31/'Historical FS'!E42,0)</f>
        <v>10.5</v>
      </c>
      <c r="F47" s="30">
        <f>IFERROR('Data Sheet'!E31/'Historical FS'!F42,0)</f>
        <v>12</v>
      </c>
      <c r="G47" s="30">
        <f>IFERROR('Data Sheet'!F31/'Historical FS'!G42,0)</f>
        <v>17.849979149291077</v>
      </c>
      <c r="H47" s="30">
        <f>IFERROR('Data Sheet'!G31/'Historical FS'!H42,0)</f>
        <v>19.150020850708923</v>
      </c>
      <c r="I47" s="30">
        <f>IFERROR('Data Sheet'!H31/'Historical FS'!I42,0)</f>
        <v>25.650020850708923</v>
      </c>
      <c r="J47" s="30">
        <f>IFERROR('Data Sheet'!I31/'Historical FS'!J42,0)</f>
        <v>33.300041701417847</v>
      </c>
      <c r="K47" s="30">
        <f>IFERROR('Data Sheet'!J31/'Historical FS'!K42,0)</f>
        <v>24.80004170141785</v>
      </c>
      <c r="L47" s="30">
        <f>IFERROR('Data Sheet'!K31/'Historical FS'!L42,0)</f>
        <v>27.5</v>
      </c>
    </row>
    <row r="48" spans="1:13" s="34" customFormat="1" x14ac:dyDescent="0.35">
      <c r="A48" s="13"/>
      <c r="B48" s="15" t="s">
        <v>77</v>
      </c>
      <c r="C48" s="13">
        <f>C47/C44</f>
        <v>0.50941771551435222</v>
      </c>
      <c r="D48" s="13">
        <f t="shared" ref="D48:L48" si="18">D47/D44</f>
        <v>0.40928330055470269</v>
      </c>
      <c r="E48" s="13">
        <f t="shared" si="18"/>
        <v>0.46716019147278187</v>
      </c>
      <c r="F48" s="13">
        <f t="shared" si="18"/>
        <v>0.42549636436896759</v>
      </c>
      <c r="G48" s="13">
        <f t="shared" si="18"/>
        <v>0.54540039308251231</v>
      </c>
      <c r="H48" s="13">
        <f t="shared" si="18"/>
        <v>0.6061137013829081</v>
      </c>
      <c r="I48" s="13">
        <f t="shared" si="18"/>
        <v>0.59914281191783658</v>
      </c>
      <c r="J48" s="13">
        <f t="shared" si="18"/>
        <v>0.58498268387961683</v>
      </c>
      <c r="K48" s="13">
        <f t="shared" si="18"/>
        <v>0.64866943169640301</v>
      </c>
      <c r="L48" s="13">
        <f t="shared" si="18"/>
        <v>0.60984660200908591</v>
      </c>
      <c r="M48" s="13"/>
    </row>
    <row r="50" spans="1:14" s="14" customFormat="1" x14ac:dyDescent="0.35">
      <c r="B50" s="14" t="s">
        <v>78</v>
      </c>
      <c r="C50" s="13">
        <f>IFERROR(IF(C44&gt;C47,1-C48,0),0)</f>
        <v>0.49058228448564778</v>
      </c>
      <c r="D50" s="13">
        <f t="shared" ref="D50:L50" si="19">IFERROR(IF(D44&gt;D47,1-D48,0),0)</f>
        <v>0.59071669944529726</v>
      </c>
      <c r="E50" s="13">
        <f t="shared" si="19"/>
        <v>0.53283980852721813</v>
      </c>
      <c r="F50" s="13">
        <f t="shared" si="19"/>
        <v>0.57450363563103246</v>
      </c>
      <c r="G50" s="13">
        <f t="shared" si="19"/>
        <v>0.45459960691748769</v>
      </c>
      <c r="H50" s="13">
        <f t="shared" si="19"/>
        <v>0.3938862986170919</v>
      </c>
      <c r="I50" s="13">
        <f t="shared" si="19"/>
        <v>0.40085718808216342</v>
      </c>
      <c r="J50" s="13">
        <f t="shared" si="19"/>
        <v>0.41501731612038317</v>
      </c>
      <c r="K50" s="13">
        <f t="shared" si="19"/>
        <v>0.35133056830359699</v>
      </c>
      <c r="L50" s="13">
        <f t="shared" si="19"/>
        <v>0.39015339799091409</v>
      </c>
      <c r="M50" s="13"/>
      <c r="N50" s="34"/>
    </row>
    <row r="51" spans="1:14" x14ac:dyDescent="0.35">
      <c r="C51" t="s">
        <v>68</v>
      </c>
    </row>
    <row r="52" spans="1:14" s="19" customFormat="1" x14ac:dyDescent="0.35">
      <c r="A52" s="19" t="s">
        <v>23</v>
      </c>
      <c r="B52" s="19" t="s">
        <v>79</v>
      </c>
    </row>
    <row r="53" spans="1:14" s="14" customFormat="1" x14ac:dyDescent="0.35">
      <c r="B53" s="14" t="s">
        <v>10</v>
      </c>
      <c r="C53" s="9">
        <f>IFERROR('Data Sheet'!B57,0)</f>
        <v>95.92</v>
      </c>
      <c r="D53" s="9">
        <f>IFERROR('Data Sheet'!C57,0)</f>
        <v>95.92</v>
      </c>
      <c r="E53" s="9">
        <f>IFERROR('Data Sheet'!D57,0)</f>
        <v>95.92</v>
      </c>
      <c r="F53" s="9">
        <f>IFERROR('Data Sheet'!E57,0)</f>
        <v>95.92</v>
      </c>
      <c r="G53" s="9">
        <f>IFERROR('Data Sheet'!F57,0)</f>
        <v>95.92</v>
      </c>
      <c r="H53" s="9">
        <f>IFERROR('Data Sheet'!G57,0)</f>
        <v>95.92</v>
      </c>
      <c r="I53" s="9">
        <f>IFERROR('Data Sheet'!H57,0)</f>
        <v>95.92</v>
      </c>
      <c r="J53" s="9">
        <f>IFERROR('Data Sheet'!I57,0)</f>
        <v>95.92</v>
      </c>
      <c r="K53" s="9">
        <f>IFERROR('Data Sheet'!J57,0)</f>
        <v>95.92</v>
      </c>
      <c r="L53" s="9">
        <f>IFERROR('Data Sheet'!K57,0)</f>
        <v>95.92</v>
      </c>
    </row>
    <row r="54" spans="1:14" s="14" customFormat="1" x14ac:dyDescent="0.35">
      <c r="B54" s="14" t="s">
        <v>11</v>
      </c>
      <c r="C54" s="9">
        <f>IFERROR('Data Sheet'!B58,0)</f>
        <v>7507.97</v>
      </c>
      <c r="D54" s="9">
        <f>IFERROR('Data Sheet'!C58,0)</f>
        <v>8314.31</v>
      </c>
      <c r="E54" s="9">
        <f>IFERROR('Data Sheet'!D58,0)</f>
        <v>9374.6299999999992</v>
      </c>
      <c r="F54" s="9">
        <f>IFERROR('Data Sheet'!E58,0)</f>
        <v>10034.24</v>
      </c>
      <c r="G54" s="9">
        <f>IFERROR('Data Sheet'!F58,0)</f>
        <v>12710.37</v>
      </c>
      <c r="H54" s="9">
        <f>IFERROR('Data Sheet'!G58,0)</f>
        <v>13715.64</v>
      </c>
      <c r="I54" s="9">
        <f>IFERROR('Data Sheet'!H58,0)</f>
        <v>15896.31</v>
      </c>
      <c r="J54" s="9">
        <f>IFERROR('Data Sheet'!I58,0)</f>
        <v>18632.38</v>
      </c>
      <c r="K54" s="9">
        <f>IFERROR('Data Sheet'!J58,0)</f>
        <v>19303.89</v>
      </c>
      <c r="L54" s="9">
        <f>IFERROR('Data Sheet'!K58,0)</f>
        <v>21275.67</v>
      </c>
    </row>
    <row r="55" spans="1:14" s="14" customFormat="1" x14ac:dyDescent="0.35">
      <c r="B55" s="14" t="s">
        <v>12</v>
      </c>
      <c r="C55" s="9">
        <f>IFERROR('Data Sheet'!B59,0)</f>
        <v>560.34</v>
      </c>
      <c r="D55" s="9">
        <f>IFERROR('Data Sheet'!C59,0)</f>
        <v>533.42999999999995</v>
      </c>
      <c r="E55" s="9">
        <f>IFERROR('Data Sheet'!D59,0)</f>
        <v>1319.6</v>
      </c>
      <c r="F55" s="9">
        <f>IFERROR('Data Sheet'!E59,0)</f>
        <v>1118.5</v>
      </c>
      <c r="G55" s="9">
        <f>IFERROR('Data Sheet'!F59,0)</f>
        <v>1093.1199999999999</v>
      </c>
      <c r="H55" s="9">
        <f>IFERROR('Data Sheet'!G59,0)</f>
        <v>1586.88</v>
      </c>
      <c r="I55" s="9">
        <f>IFERROR('Data Sheet'!H59,0)</f>
        <v>1932.62</v>
      </c>
      <c r="J55" s="9">
        <f>IFERROR('Data Sheet'!I59,0)</f>
        <v>2474.38</v>
      </c>
      <c r="K55" s="9">
        <f>IFERROR('Data Sheet'!J59,0)</f>
        <v>2290.29</v>
      </c>
      <c r="L55" s="9">
        <f>IFERROR('Data Sheet'!K59,0)</f>
        <v>3928.93</v>
      </c>
    </row>
    <row r="56" spans="1:14" s="14" customFormat="1" x14ac:dyDescent="0.35">
      <c r="B56" s="14" t="s">
        <v>13</v>
      </c>
      <c r="C56" s="9">
        <f>IFERROR('Data Sheet'!B60,0)</f>
        <v>4240.96</v>
      </c>
      <c r="D56" s="9">
        <f>IFERROR('Data Sheet'!C60,0)</f>
        <v>4819.82</v>
      </c>
      <c r="E56" s="9">
        <f>IFERROR('Data Sheet'!D60,0)</f>
        <v>5458.69</v>
      </c>
      <c r="F56" s="9">
        <f>IFERROR('Data Sheet'!E60,0)</f>
        <v>4889.3100000000004</v>
      </c>
      <c r="G56" s="9">
        <f>IFERROR('Data Sheet'!F60,0)</f>
        <v>6455.93</v>
      </c>
      <c r="H56" s="9">
        <f>IFERROR('Data Sheet'!G60,0)</f>
        <v>7559.99</v>
      </c>
      <c r="I56" s="9">
        <f>IFERROR('Data Sheet'!H60,0)</f>
        <v>7854.48</v>
      </c>
      <c r="J56" s="9">
        <f>IFERROR('Data Sheet'!I60,0)</f>
        <v>8698.09</v>
      </c>
      <c r="K56" s="9">
        <f>IFERROR('Data Sheet'!J60,0)</f>
        <v>8665.15</v>
      </c>
      <c r="L56" s="9">
        <f>IFERROR('Data Sheet'!K60,0)</f>
        <v>9218.23</v>
      </c>
    </row>
    <row r="57" spans="1:14" s="23" customFormat="1" x14ac:dyDescent="0.35">
      <c r="B57" s="21" t="s">
        <v>80</v>
      </c>
      <c r="C57" s="25">
        <f>IFERROR(SUM(C53:C56),0)</f>
        <v>12405.19</v>
      </c>
      <c r="D57" s="25">
        <f t="shared" ref="D57:L57" si="20">IFERROR(SUM(D53:D56),0)</f>
        <v>13763.48</v>
      </c>
      <c r="E57" s="25">
        <f t="shared" si="20"/>
        <v>16248.84</v>
      </c>
      <c r="F57" s="25">
        <f t="shared" si="20"/>
        <v>16137.970000000001</v>
      </c>
      <c r="G57" s="25">
        <f t="shared" si="20"/>
        <v>20355.34</v>
      </c>
      <c r="H57" s="25">
        <f t="shared" si="20"/>
        <v>22958.43</v>
      </c>
      <c r="I57" s="25">
        <f t="shared" si="20"/>
        <v>25779.329999999998</v>
      </c>
      <c r="J57" s="25">
        <f t="shared" si="20"/>
        <v>29900.77</v>
      </c>
      <c r="K57" s="25">
        <f t="shared" si="20"/>
        <v>30355.25</v>
      </c>
      <c r="L57" s="25">
        <f t="shared" si="20"/>
        <v>34518.75</v>
      </c>
    </row>
    <row r="58" spans="1:14" x14ac:dyDescent="0.35">
      <c r="C58" s="9"/>
      <c r="D58" s="9"/>
      <c r="E58" s="9"/>
      <c r="F58" s="9"/>
      <c r="G58" s="9"/>
      <c r="H58" s="9"/>
      <c r="I58" s="9"/>
      <c r="J58" s="9"/>
      <c r="K58" s="9"/>
      <c r="L58" s="9"/>
    </row>
    <row r="59" spans="1:14" x14ac:dyDescent="0.35">
      <c r="B59" s="3" t="s">
        <v>15</v>
      </c>
      <c r="C59" s="9">
        <f>IFERROR('Data Sheet'!B62,0)</f>
        <v>3303.74</v>
      </c>
      <c r="D59" s="9">
        <f>IFERROR('Data Sheet'!C62,0)</f>
        <v>3732.24</v>
      </c>
      <c r="E59" s="9">
        <f>IFERROR('Data Sheet'!D62,0)</f>
        <v>6496.56</v>
      </c>
      <c r="F59" s="9">
        <f>IFERROR('Data Sheet'!E62,0)</f>
        <v>6272.31</v>
      </c>
      <c r="G59" s="9">
        <f>IFERROR('Data Sheet'!F62,0)</f>
        <v>5858.52</v>
      </c>
      <c r="H59" s="9">
        <f>IFERROR('Data Sheet'!G62,0)</f>
        <v>5519.06</v>
      </c>
      <c r="I59" s="9">
        <f>IFERROR('Data Sheet'!H62,0)</f>
        <v>5770.46</v>
      </c>
      <c r="J59" s="9">
        <f>IFERROR('Data Sheet'!I62,0)</f>
        <v>7146.62</v>
      </c>
      <c r="K59" s="9">
        <f>IFERROR('Data Sheet'!J62,0)</f>
        <v>9220.1</v>
      </c>
      <c r="L59" s="9">
        <f>IFERROR('Data Sheet'!K62,0)</f>
        <v>9640.2800000000007</v>
      </c>
      <c r="M59" s="14"/>
    </row>
    <row r="60" spans="1:14" x14ac:dyDescent="0.35">
      <c r="B60" s="3" t="s">
        <v>16</v>
      </c>
      <c r="C60" s="9">
        <f>IFERROR('Data Sheet'!B63,0)</f>
        <v>257.54000000000002</v>
      </c>
      <c r="D60" s="9">
        <f>IFERROR('Data Sheet'!C63,0)</f>
        <v>1405.11</v>
      </c>
      <c r="E60" s="9">
        <f>IFERROR('Data Sheet'!D63,0)</f>
        <v>209.67</v>
      </c>
      <c r="F60" s="9">
        <f>IFERROR('Data Sheet'!E63,0)</f>
        <v>140.24</v>
      </c>
      <c r="G60" s="9">
        <f>IFERROR('Data Sheet'!F63,0)</f>
        <v>182.98</v>
      </c>
      <c r="H60" s="9">
        <f>IFERROR('Data Sheet'!G63,0)</f>
        <v>426.43</v>
      </c>
      <c r="I60" s="9">
        <f>IFERROR('Data Sheet'!H63,0)</f>
        <v>1019.59</v>
      </c>
      <c r="J60" s="9">
        <f>IFERROR('Data Sheet'!I63,0)</f>
        <v>2698.37</v>
      </c>
      <c r="K60" s="9">
        <f>IFERROR('Data Sheet'!J63,0)</f>
        <v>1254.49</v>
      </c>
      <c r="L60" s="9">
        <f>IFERROR('Data Sheet'!K63,0)</f>
        <v>1848.67</v>
      </c>
      <c r="M60" s="14"/>
    </row>
    <row r="61" spans="1:14" x14ac:dyDescent="0.35">
      <c r="B61" s="3" t="s">
        <v>17</v>
      </c>
      <c r="C61" s="9">
        <f>IFERROR('Data Sheet'!B64,0)</f>
        <v>2651.99</v>
      </c>
      <c r="D61" s="9">
        <f>IFERROR('Data Sheet'!C64,0)</f>
        <v>2140.6999999999998</v>
      </c>
      <c r="E61" s="9">
        <f>IFERROR('Data Sheet'!D64,0)</f>
        <v>2568.58</v>
      </c>
      <c r="F61" s="9">
        <f>IFERROR('Data Sheet'!E64,0)</f>
        <v>2018.85</v>
      </c>
      <c r="G61" s="9">
        <f>IFERROR('Data Sheet'!F64,0)</f>
        <v>4736.8</v>
      </c>
      <c r="H61" s="9">
        <f>IFERROR('Data Sheet'!G64,0)</f>
        <v>3247.53</v>
      </c>
      <c r="I61" s="9">
        <f>IFERROR('Data Sheet'!H64,0)</f>
        <v>4261.71</v>
      </c>
      <c r="J61" s="9">
        <f>IFERROR('Data Sheet'!I64,0)</f>
        <v>4587.92</v>
      </c>
      <c r="K61" s="9">
        <f>IFERROR('Data Sheet'!J64,0)</f>
        <v>4724.75</v>
      </c>
      <c r="L61" s="9">
        <f>IFERROR('Data Sheet'!K64,0)</f>
        <v>7061.74</v>
      </c>
      <c r="M61" s="14"/>
    </row>
    <row r="62" spans="1:14" x14ac:dyDescent="0.35">
      <c r="B62" s="3" t="s">
        <v>18</v>
      </c>
      <c r="C62" s="9">
        <f>IFERROR('Data Sheet'!B65-SUM('Data Sheet'!B67:B69),0)</f>
        <v>1317.17</v>
      </c>
      <c r="D62" s="9">
        <f>IFERROR('Data Sheet'!C65-SUM('Data Sheet'!C67:C69),0)</f>
        <v>1691.8400000000001</v>
      </c>
      <c r="E62" s="9">
        <f>IFERROR('Data Sheet'!D65-SUM('Data Sheet'!D67:D69),0)</f>
        <v>1471.9599999999991</v>
      </c>
      <c r="F62" s="9">
        <f>IFERROR('Data Sheet'!E65-SUM('Data Sheet'!E67:E69),0)</f>
        <v>1738.71</v>
      </c>
      <c r="G62" s="9">
        <f>IFERROR('Data Sheet'!F65-SUM('Data Sheet'!F67:F69),0)</f>
        <v>2565.5200000000004</v>
      </c>
      <c r="H62" s="9">
        <f>IFERROR('Data Sheet'!G65-SUM('Data Sheet'!G67:G69),0)</f>
        <v>2876.66</v>
      </c>
      <c r="I62" s="9">
        <f>IFERROR('Data Sheet'!H65-SUM('Data Sheet'!H67:H69),0)</f>
        <v>3036.17</v>
      </c>
      <c r="J62" s="9">
        <f>IFERROR('Data Sheet'!I65-SUM('Data Sheet'!I67:I69),0)</f>
        <v>3571.3900000000012</v>
      </c>
      <c r="K62" s="9">
        <f>IFERROR('Data Sheet'!J65-SUM('Data Sheet'!J67:J69),0)</f>
        <v>3341.01</v>
      </c>
      <c r="L62" s="9">
        <f>IFERROR('Data Sheet'!K65-SUM('Data Sheet'!K67:K69),0)</f>
        <v>4688.8899999999994</v>
      </c>
      <c r="M62" s="14"/>
    </row>
    <row r="63" spans="1:14" s="23" customFormat="1" x14ac:dyDescent="0.35">
      <c r="B63" s="21" t="s">
        <v>81</v>
      </c>
      <c r="C63" s="25">
        <f t="shared" ref="C63:L63" si="21">IFERROR(SUM(C59:C62),0)</f>
        <v>7530.44</v>
      </c>
      <c r="D63" s="25">
        <f t="shared" si="21"/>
        <v>8969.89</v>
      </c>
      <c r="E63" s="25">
        <f t="shared" si="21"/>
        <v>10746.77</v>
      </c>
      <c r="F63" s="25">
        <f t="shared" si="21"/>
        <v>10170.11</v>
      </c>
      <c r="G63" s="25">
        <f t="shared" si="21"/>
        <v>13343.82</v>
      </c>
      <c r="H63" s="25">
        <f t="shared" si="21"/>
        <v>12069.68</v>
      </c>
      <c r="I63" s="25">
        <f t="shared" si="21"/>
        <v>14087.93</v>
      </c>
      <c r="J63" s="25">
        <f t="shared" si="21"/>
        <v>18004.300000000003</v>
      </c>
      <c r="K63" s="25">
        <f t="shared" si="21"/>
        <v>18540.349999999999</v>
      </c>
      <c r="L63" s="25">
        <f t="shared" si="21"/>
        <v>23239.58</v>
      </c>
      <c r="M63" s="24"/>
    </row>
    <row r="64" spans="1:14" x14ac:dyDescent="0.35">
      <c r="B64" s="20"/>
      <c r="C64" s="9"/>
      <c r="D64" s="9"/>
      <c r="E64" s="9"/>
      <c r="F64" s="9"/>
      <c r="G64" s="9"/>
      <c r="H64" s="9"/>
      <c r="I64" s="9"/>
      <c r="J64" s="9"/>
      <c r="K64" s="9"/>
      <c r="L64" s="9"/>
      <c r="M64" s="14"/>
    </row>
    <row r="65" spans="1:13" x14ac:dyDescent="0.35">
      <c r="B65" s="3" t="s">
        <v>42</v>
      </c>
      <c r="C65" s="9">
        <f>IFERROR('Data Sheet'!B67,0)</f>
        <v>1446.6</v>
      </c>
      <c r="D65" s="9">
        <f>IFERROR('Data Sheet'!C67,0)</f>
        <v>1730.63</v>
      </c>
      <c r="E65" s="9">
        <f>IFERROR('Data Sheet'!D67,0)</f>
        <v>1907.33</v>
      </c>
      <c r="F65" s="9">
        <f>IFERROR('Data Sheet'!E67,0)</f>
        <v>1795.22</v>
      </c>
      <c r="G65" s="9">
        <f>IFERROR('Data Sheet'!F67,0)</f>
        <v>2602.17</v>
      </c>
      <c r="H65" s="9">
        <f>IFERROR('Data Sheet'!G67,0)</f>
        <v>3871.44</v>
      </c>
      <c r="I65" s="9">
        <f>IFERROR('Data Sheet'!H67,0)</f>
        <v>4636.9399999999996</v>
      </c>
      <c r="J65" s="9">
        <f>IFERROR('Data Sheet'!I67,0)</f>
        <v>4889.05</v>
      </c>
      <c r="K65" s="9">
        <f>IFERROR('Data Sheet'!J67,0)</f>
        <v>4313.6499999999996</v>
      </c>
      <c r="L65" s="9">
        <f>IFERROR('Data Sheet'!K67,0)</f>
        <v>4461.8</v>
      </c>
      <c r="M65" s="14"/>
    </row>
    <row r="66" spans="1:13" x14ac:dyDescent="0.35">
      <c r="B66" s="3" t="s">
        <v>19</v>
      </c>
      <c r="C66" s="9">
        <f>IFERROR('Data Sheet'!B68,0)</f>
        <v>2626.94</v>
      </c>
      <c r="D66" s="9">
        <f>IFERROR('Data Sheet'!C68,0)</f>
        <v>2658.31</v>
      </c>
      <c r="E66" s="9">
        <f>IFERROR('Data Sheet'!D68,0)</f>
        <v>3149.86</v>
      </c>
      <c r="F66" s="9">
        <f>IFERROR('Data Sheet'!E68,0)</f>
        <v>3389.81</v>
      </c>
      <c r="G66" s="9">
        <f>IFERROR('Data Sheet'!F68,0)</f>
        <v>3798.6</v>
      </c>
      <c r="H66" s="9">
        <f>IFERROR('Data Sheet'!G68,0)</f>
        <v>6152.98</v>
      </c>
      <c r="I66" s="9">
        <f>IFERROR('Data Sheet'!H68,0)</f>
        <v>6210.64</v>
      </c>
      <c r="J66" s="9">
        <f>IFERROR('Data Sheet'!I68,0)</f>
        <v>5923.41</v>
      </c>
      <c r="K66" s="9">
        <f>IFERROR('Data Sheet'!J68,0)</f>
        <v>6719.27</v>
      </c>
      <c r="L66" s="9">
        <f>IFERROR('Data Sheet'!K68,0)</f>
        <v>5743.69</v>
      </c>
      <c r="M66" s="14"/>
    </row>
    <row r="67" spans="1:13" x14ac:dyDescent="0.35">
      <c r="B67" s="5" t="s">
        <v>41</v>
      </c>
      <c r="C67" s="9">
        <f>IFERROR('Data Sheet'!B69,0)</f>
        <v>801.21</v>
      </c>
      <c r="D67" s="9">
        <f>IFERROR('Data Sheet'!C69,0)</f>
        <v>404.65</v>
      </c>
      <c r="E67" s="9">
        <f>IFERROR('Data Sheet'!D69,0)</f>
        <v>444.88</v>
      </c>
      <c r="F67" s="9">
        <f>IFERROR('Data Sheet'!E69,0)</f>
        <v>782.83</v>
      </c>
      <c r="G67" s="9">
        <f>IFERROR('Data Sheet'!F69,0)</f>
        <v>610.75</v>
      </c>
      <c r="H67" s="9">
        <f>IFERROR('Data Sheet'!G69,0)</f>
        <v>864.33</v>
      </c>
      <c r="I67" s="9">
        <f>IFERROR('Data Sheet'!H69,0)</f>
        <v>843.82</v>
      </c>
      <c r="J67" s="9">
        <f>IFERROR('Data Sheet'!I69,0)</f>
        <v>1084.01</v>
      </c>
      <c r="K67" s="9">
        <f>IFERROR('Data Sheet'!J69,0)</f>
        <v>781.98</v>
      </c>
      <c r="L67" s="9">
        <f>IFERROR('Data Sheet'!K69,0)</f>
        <v>1073.68</v>
      </c>
      <c r="M67" s="14"/>
    </row>
    <row r="68" spans="1:13" s="23" customFormat="1" x14ac:dyDescent="0.35">
      <c r="B68" s="22" t="s">
        <v>83</v>
      </c>
      <c r="C68" s="25">
        <f t="shared" ref="C68:L68" si="22">IFERROR(SUM(C65:C67),0)</f>
        <v>4874.75</v>
      </c>
      <c r="D68" s="25">
        <f t="shared" si="22"/>
        <v>4793.59</v>
      </c>
      <c r="E68" s="25">
        <f t="shared" si="22"/>
        <v>5502.0700000000006</v>
      </c>
      <c r="F68" s="25">
        <f t="shared" si="22"/>
        <v>5967.86</v>
      </c>
      <c r="G68" s="25">
        <f t="shared" si="22"/>
        <v>7011.52</v>
      </c>
      <c r="H68" s="25">
        <f t="shared" si="22"/>
        <v>10888.75</v>
      </c>
      <c r="I68" s="25">
        <f t="shared" si="22"/>
        <v>11691.4</v>
      </c>
      <c r="J68" s="25">
        <f t="shared" si="22"/>
        <v>11896.47</v>
      </c>
      <c r="K68" s="25">
        <f t="shared" si="22"/>
        <v>11814.9</v>
      </c>
      <c r="L68" s="25">
        <f t="shared" si="22"/>
        <v>11279.17</v>
      </c>
      <c r="M68" s="24"/>
    </row>
    <row r="69" spans="1:13" x14ac:dyDescent="0.35">
      <c r="C69" s="9"/>
      <c r="D69" s="9"/>
      <c r="E69" s="9"/>
      <c r="F69" s="9"/>
      <c r="G69" s="9"/>
      <c r="H69" s="9"/>
      <c r="I69" s="9"/>
      <c r="J69" s="9"/>
      <c r="K69" s="9"/>
      <c r="L69" s="9"/>
      <c r="M69" s="14"/>
    </row>
    <row r="70" spans="1:13" s="23" customFormat="1" x14ac:dyDescent="0.35">
      <c r="B70" s="22" t="s">
        <v>82</v>
      </c>
      <c r="C70" s="25">
        <f>IFERROR(C68+C63,0)</f>
        <v>12405.189999999999</v>
      </c>
      <c r="D70" s="25">
        <f t="shared" ref="D70:L70" si="23">IFERROR(D68+D63,0)</f>
        <v>13763.48</v>
      </c>
      <c r="E70" s="25">
        <f t="shared" si="23"/>
        <v>16248.84</v>
      </c>
      <c r="F70" s="25">
        <f t="shared" si="23"/>
        <v>16137.970000000001</v>
      </c>
      <c r="G70" s="25">
        <f t="shared" si="23"/>
        <v>20355.34</v>
      </c>
      <c r="H70" s="25">
        <f t="shared" si="23"/>
        <v>22958.43</v>
      </c>
      <c r="I70" s="25">
        <f t="shared" si="23"/>
        <v>25779.33</v>
      </c>
      <c r="J70" s="25">
        <f t="shared" si="23"/>
        <v>29900.770000000004</v>
      </c>
      <c r="K70" s="25">
        <f t="shared" si="23"/>
        <v>30355.25</v>
      </c>
      <c r="L70" s="25">
        <f t="shared" si="23"/>
        <v>34518.75</v>
      </c>
      <c r="M70" s="24"/>
    </row>
    <row r="72" spans="1:13" s="26" customFormat="1" x14ac:dyDescent="0.35">
      <c r="B72" s="26" t="s">
        <v>84</v>
      </c>
      <c r="C72" s="26" t="b">
        <f>C70=C57</f>
        <v>1</v>
      </c>
      <c r="D72" s="26" t="b">
        <f t="shared" ref="D72:L72" si="24">D70=D57</f>
        <v>1</v>
      </c>
      <c r="E72" s="26" t="b">
        <f t="shared" si="24"/>
        <v>1</v>
      </c>
      <c r="F72" s="26" t="b">
        <f t="shared" si="24"/>
        <v>1</v>
      </c>
      <c r="G72" s="26" t="b">
        <f t="shared" si="24"/>
        <v>1</v>
      </c>
      <c r="H72" s="26" t="b">
        <f t="shared" si="24"/>
        <v>1</v>
      </c>
      <c r="I72" s="26" t="b">
        <f t="shared" si="24"/>
        <v>1</v>
      </c>
      <c r="J72" s="26" t="b">
        <f t="shared" si="24"/>
        <v>1</v>
      </c>
      <c r="K72" s="26" t="b">
        <f t="shared" si="24"/>
        <v>1</v>
      </c>
      <c r="L72" s="26" t="b">
        <f t="shared" si="24"/>
        <v>1</v>
      </c>
    </row>
    <row r="74" spans="1:13" s="19" customFormat="1" x14ac:dyDescent="0.35">
      <c r="A74" s="19" t="s">
        <v>23</v>
      </c>
      <c r="B74" s="19" t="s">
        <v>85</v>
      </c>
    </row>
    <row r="75" spans="1:13" x14ac:dyDescent="0.35">
      <c r="B75" s="23" t="s">
        <v>108</v>
      </c>
    </row>
    <row r="76" spans="1:13" x14ac:dyDescent="0.35">
      <c r="B76" t="s">
        <v>87</v>
      </c>
      <c r="C76" s="27">
        <f>IFERROR('Data Sheet'!B98,0)</f>
        <v>3056</v>
      </c>
      <c r="D76" s="27">
        <f>IFERROR('Data Sheet'!C98,0)</f>
        <v>3274</v>
      </c>
      <c r="E76" s="27">
        <f>IFERROR('Data Sheet'!D98,0)</f>
        <v>3861</v>
      </c>
      <c r="F76" s="27">
        <f>IFERROR('Data Sheet'!E98,0)</f>
        <v>4380</v>
      </c>
      <c r="G76" s="27">
        <f>IFERROR('Data Sheet'!F98,0)</f>
        <v>4970</v>
      </c>
      <c r="H76" s="27">
        <f>IFERROR('Data Sheet'!G98,0)</f>
        <v>4957</v>
      </c>
      <c r="I76" s="27">
        <f>IFERROR('Data Sheet'!H98,0)</f>
        <v>6460</v>
      </c>
      <c r="J76" s="27">
        <f>IFERROR('Data Sheet'!I98,0)</f>
        <v>7929</v>
      </c>
      <c r="K76" s="27">
        <f>IFERROR('Data Sheet'!J98,0)</f>
        <v>6390</v>
      </c>
      <c r="L76" s="27">
        <f>IFERROR('Data Sheet'!K98,0)</f>
        <v>7186</v>
      </c>
      <c r="M76" s="14"/>
    </row>
    <row r="77" spans="1:13" x14ac:dyDescent="0.35">
      <c r="B77" t="s">
        <v>42</v>
      </c>
      <c r="C77" s="27">
        <f>IFERROR('Data Sheet'!B99,0)</f>
        <v>-475</v>
      </c>
      <c r="D77" s="27">
        <f>IFERROR('Data Sheet'!C99,0)</f>
        <v>-483</v>
      </c>
      <c r="E77" s="27">
        <f>IFERROR('Data Sheet'!D99,0)</f>
        <v>-205</v>
      </c>
      <c r="F77" s="27">
        <f>IFERROR('Data Sheet'!E99,0)</f>
        <v>160</v>
      </c>
      <c r="G77" s="27">
        <f>IFERROR('Data Sheet'!F99,0)</f>
        <v>-849</v>
      </c>
      <c r="H77" s="27">
        <f>IFERROR('Data Sheet'!G99,0)</f>
        <v>-1326</v>
      </c>
      <c r="I77" s="27">
        <f>IFERROR('Data Sheet'!H99,0)</f>
        <v>-834</v>
      </c>
      <c r="J77" s="27">
        <f>IFERROR('Data Sheet'!I99,0)</f>
        <v>-362</v>
      </c>
      <c r="K77" s="27">
        <f>IFERROR('Data Sheet'!J99,0)</f>
        <v>282</v>
      </c>
      <c r="L77" s="27">
        <f>IFERROR('Data Sheet'!K99,0)</f>
        <v>-274</v>
      </c>
      <c r="M77" s="14"/>
    </row>
    <row r="78" spans="1:13" x14ac:dyDescent="0.35">
      <c r="B78" t="s">
        <v>19</v>
      </c>
      <c r="C78" s="27">
        <f>IFERROR('Data Sheet'!B100,0)</f>
        <v>-629</v>
      </c>
      <c r="D78" s="27">
        <f>IFERROR('Data Sheet'!C100,0)</f>
        <v>-39</v>
      </c>
      <c r="E78" s="27">
        <f>IFERROR('Data Sheet'!D100,0)</f>
        <v>-492</v>
      </c>
      <c r="F78" s="27">
        <f>IFERROR('Data Sheet'!E100,0)</f>
        <v>-251</v>
      </c>
      <c r="G78" s="27">
        <f>IFERROR('Data Sheet'!F100,0)</f>
        <v>-409</v>
      </c>
      <c r="H78" s="27">
        <f>IFERROR('Data Sheet'!G100,0)</f>
        <v>-2354</v>
      </c>
      <c r="I78" s="27">
        <f>IFERROR('Data Sheet'!H100,0)</f>
        <v>-56</v>
      </c>
      <c r="J78" s="27">
        <f>IFERROR('Data Sheet'!I100,0)</f>
        <v>315</v>
      </c>
      <c r="K78" s="27">
        <f>IFERROR('Data Sheet'!J100,0)</f>
        <v>-805</v>
      </c>
      <c r="L78" s="27">
        <f>IFERROR('Data Sheet'!K100,0)</f>
        <v>976</v>
      </c>
      <c r="M78" s="14"/>
    </row>
    <row r="79" spans="1:13" x14ac:dyDescent="0.35">
      <c r="B79" t="s">
        <v>88</v>
      </c>
      <c r="C79" s="27">
        <f>IFERROR('Data Sheet'!B101,0)</f>
        <v>501</v>
      </c>
      <c r="D79" s="27">
        <f>IFERROR('Data Sheet'!C101,0)</f>
        <v>442</v>
      </c>
      <c r="E79" s="27">
        <f>IFERROR('Data Sheet'!D101,0)</f>
        <v>287</v>
      </c>
      <c r="F79" s="27">
        <f>IFERROR('Data Sheet'!E101,0)</f>
        <v>-241</v>
      </c>
      <c r="G79" s="27">
        <f>IFERROR('Data Sheet'!F101,0)</f>
        <v>1143</v>
      </c>
      <c r="H79" s="27">
        <f>IFERROR('Data Sheet'!G101,0)</f>
        <v>644</v>
      </c>
      <c r="I79" s="27">
        <f>IFERROR('Data Sheet'!H101,0)</f>
        <v>-539</v>
      </c>
      <c r="J79" s="27">
        <f>IFERROR('Data Sheet'!I101,0)</f>
        <v>269</v>
      </c>
      <c r="K79" s="27">
        <f>IFERROR('Data Sheet'!J101,0)</f>
        <v>-160</v>
      </c>
      <c r="L79" s="27">
        <f>IFERROR('Data Sheet'!K101,0)</f>
        <v>396</v>
      </c>
      <c r="M79" s="14"/>
    </row>
    <row r="80" spans="1:13" x14ac:dyDescent="0.35">
      <c r="B80" t="s">
        <v>89</v>
      </c>
      <c r="C80" s="27">
        <f>IFERROR('Data Sheet'!B102,0)</f>
        <v>0</v>
      </c>
      <c r="D80" s="27">
        <f>IFERROR('Data Sheet'!C102,0)</f>
        <v>0</v>
      </c>
      <c r="E80" s="27">
        <f>IFERROR('Data Sheet'!D102,0)</f>
        <v>0</v>
      </c>
      <c r="F80" s="27">
        <f>IFERROR('Data Sheet'!E102,0)</f>
        <v>0</v>
      </c>
      <c r="G80" s="27">
        <f>IFERROR('Data Sheet'!F102,0)</f>
        <v>-92</v>
      </c>
      <c r="H80" s="27">
        <f>IFERROR('Data Sheet'!G102,0)</f>
        <v>242</v>
      </c>
      <c r="I80" s="27">
        <f>IFERROR('Data Sheet'!H102,0)</f>
        <v>657</v>
      </c>
      <c r="J80" s="27">
        <f>IFERROR('Data Sheet'!I102,0)</f>
        <v>-212</v>
      </c>
      <c r="K80" s="27">
        <f>IFERROR('Data Sheet'!J102,0)</f>
        <v>114</v>
      </c>
      <c r="L80" s="27">
        <f>IFERROR('Data Sheet'!K102,0)</f>
        <v>378</v>
      </c>
      <c r="M80" s="14"/>
    </row>
    <row r="81" spans="2:13" x14ac:dyDescent="0.35">
      <c r="B81" t="s">
        <v>90</v>
      </c>
      <c r="C81" s="27">
        <f>IFERROR('Data Sheet'!B103,0)</f>
        <v>-603</v>
      </c>
      <c r="D81" s="27">
        <f>IFERROR('Data Sheet'!C103,0)</f>
        <v>-80</v>
      </c>
      <c r="E81" s="27">
        <f>IFERROR('Data Sheet'!D103,0)</f>
        <v>-410</v>
      </c>
      <c r="F81" s="27">
        <f>IFERROR('Data Sheet'!E103,0)</f>
        <v>-331</v>
      </c>
      <c r="G81" s="27">
        <f>IFERROR('Data Sheet'!F103,0)</f>
        <v>-206</v>
      </c>
      <c r="H81" s="27">
        <f>IFERROR('Data Sheet'!G103,0)</f>
        <v>-2795</v>
      </c>
      <c r="I81" s="27">
        <f>IFERROR('Data Sheet'!H103,0)</f>
        <v>-772</v>
      </c>
      <c r="J81" s="27">
        <f>IFERROR('Data Sheet'!I103,0)</f>
        <v>10</v>
      </c>
      <c r="K81" s="27">
        <f>IFERROR('Data Sheet'!J103,0)</f>
        <v>-570</v>
      </c>
      <c r="L81" s="27">
        <f>IFERROR('Data Sheet'!K103,0)</f>
        <v>1476</v>
      </c>
      <c r="M81" s="14"/>
    </row>
    <row r="82" spans="2:13" x14ac:dyDescent="0.35">
      <c r="B82" t="s">
        <v>91</v>
      </c>
      <c r="C82" s="27">
        <f>IFERROR('Data Sheet'!B104,0)</f>
        <v>-925</v>
      </c>
      <c r="D82" s="27">
        <f>IFERROR('Data Sheet'!C104,0)</f>
        <v>-1081</v>
      </c>
      <c r="E82" s="27">
        <f>IFERROR('Data Sheet'!D104,0)</f>
        <v>-982</v>
      </c>
      <c r="F82" s="27">
        <f>IFERROR('Data Sheet'!E104,0)</f>
        <v>-1011</v>
      </c>
      <c r="G82" s="27">
        <f>IFERROR('Data Sheet'!F104,0)</f>
        <v>-1080</v>
      </c>
      <c r="H82" s="27">
        <f>IFERROR('Data Sheet'!G104,0)</f>
        <v>-1176</v>
      </c>
      <c r="I82" s="27">
        <f>IFERROR('Data Sheet'!H104,0)</f>
        <v>-1494</v>
      </c>
      <c r="J82" s="27">
        <f>IFERROR('Data Sheet'!I104,0)</f>
        <v>-1835</v>
      </c>
      <c r="K82" s="27">
        <f>IFERROR('Data Sheet'!J104,0)</f>
        <v>-1396</v>
      </c>
      <c r="L82" s="27">
        <f>IFERROR('Data Sheet'!K104,0)</f>
        <v>-1574</v>
      </c>
      <c r="M82" s="14"/>
    </row>
    <row r="83" spans="2:13" x14ac:dyDescent="0.35">
      <c r="B83" s="23" t="s">
        <v>86</v>
      </c>
      <c r="C83" s="28">
        <f t="shared" ref="C83:L83" si="25">SUM(C76:C80,C82)</f>
        <v>1528</v>
      </c>
      <c r="D83" s="28">
        <f t="shared" si="25"/>
        <v>2113</v>
      </c>
      <c r="E83" s="28">
        <f t="shared" si="25"/>
        <v>2469</v>
      </c>
      <c r="F83" s="28">
        <f t="shared" si="25"/>
        <v>3037</v>
      </c>
      <c r="G83" s="28">
        <f t="shared" si="25"/>
        <v>3683</v>
      </c>
      <c r="H83" s="28">
        <f t="shared" si="25"/>
        <v>987</v>
      </c>
      <c r="I83" s="28">
        <f t="shared" si="25"/>
        <v>4194</v>
      </c>
      <c r="J83" s="28">
        <f t="shared" si="25"/>
        <v>6104</v>
      </c>
      <c r="K83" s="28">
        <f t="shared" si="25"/>
        <v>4425</v>
      </c>
      <c r="L83" s="28">
        <f t="shared" si="25"/>
        <v>7088</v>
      </c>
      <c r="M83" s="14"/>
    </row>
    <row r="85" spans="2:13" x14ac:dyDescent="0.35">
      <c r="B85" s="29" t="s">
        <v>109</v>
      </c>
    </row>
    <row r="86" spans="2:13" x14ac:dyDescent="0.35">
      <c r="B86" s="5" t="s">
        <v>92</v>
      </c>
      <c r="C86" s="27">
        <f>IFERROR('Data Sheet'!B106,0)</f>
        <v>-684</v>
      </c>
      <c r="D86" s="27">
        <f>IFERROR('Data Sheet'!C106,0)</f>
        <v>-1426</v>
      </c>
      <c r="E86" s="27">
        <f>IFERROR('Data Sheet'!D106,0)</f>
        <v>-1151</v>
      </c>
      <c r="F86" s="27">
        <f>IFERROR('Data Sheet'!E106,0)</f>
        <v>-414</v>
      </c>
      <c r="G86" s="27">
        <f>IFERROR('Data Sheet'!F106,0)</f>
        <v>-289</v>
      </c>
      <c r="H86" s="27">
        <f>IFERROR('Data Sheet'!G106,0)</f>
        <v>-551</v>
      </c>
      <c r="I86" s="27">
        <f>IFERROR('Data Sheet'!H106,0)</f>
        <v>-1446</v>
      </c>
      <c r="J86" s="27">
        <f>IFERROR('Data Sheet'!I106,0)</f>
        <v>-2496</v>
      </c>
      <c r="K86" s="27">
        <f>IFERROR('Data Sheet'!J106,0)</f>
        <v>-1830</v>
      </c>
      <c r="L86" s="27">
        <f>IFERROR('Data Sheet'!K106,0)</f>
        <v>-1487</v>
      </c>
    </row>
    <row r="87" spans="2:13" x14ac:dyDescent="0.35">
      <c r="B87" s="5" t="s">
        <v>93</v>
      </c>
      <c r="C87" s="27">
        <f>IFERROR('Data Sheet'!B107,0)</f>
        <v>17</v>
      </c>
      <c r="D87" s="27">
        <f>IFERROR('Data Sheet'!C107,0)</f>
        <v>17</v>
      </c>
      <c r="E87" s="27">
        <f>IFERROR('Data Sheet'!D107,0)</f>
        <v>17</v>
      </c>
      <c r="F87" s="27">
        <f>IFERROR('Data Sheet'!E107,0)</f>
        <v>37</v>
      </c>
      <c r="G87" s="27">
        <f>IFERROR('Data Sheet'!F107,0)</f>
        <v>28</v>
      </c>
      <c r="H87" s="27">
        <f>IFERROR('Data Sheet'!G107,0)</f>
        <v>40</v>
      </c>
      <c r="I87" s="27">
        <f>IFERROR('Data Sheet'!H107,0)</f>
        <v>26</v>
      </c>
      <c r="J87" s="27">
        <f>IFERROR('Data Sheet'!I107,0)</f>
        <v>5</v>
      </c>
      <c r="K87" s="27">
        <f>IFERROR('Data Sheet'!J107,0)</f>
        <v>10</v>
      </c>
      <c r="L87" s="27">
        <f>IFERROR('Data Sheet'!K107,0)</f>
        <v>3</v>
      </c>
    </row>
    <row r="88" spans="2:13" x14ac:dyDescent="0.35">
      <c r="B88" s="5" t="s">
        <v>94</v>
      </c>
      <c r="C88" s="27">
        <f>IFERROR('Data Sheet'!B108,0)</f>
        <v>-153</v>
      </c>
      <c r="D88" s="27">
        <f>IFERROR('Data Sheet'!C108,0)</f>
        <v>-320</v>
      </c>
      <c r="E88" s="27">
        <f>IFERROR('Data Sheet'!D108,0)</f>
        <v>-573</v>
      </c>
      <c r="F88" s="27">
        <f>IFERROR('Data Sheet'!E108,0)</f>
        <v>-25</v>
      </c>
      <c r="G88" s="27">
        <f>IFERROR('Data Sheet'!F108,0)</f>
        <v>-140</v>
      </c>
      <c r="H88" s="27">
        <f>IFERROR('Data Sheet'!G108,0)</f>
        <v>0</v>
      </c>
      <c r="I88" s="27">
        <f>IFERROR('Data Sheet'!H108,0)</f>
        <v>-146</v>
      </c>
      <c r="J88" s="27">
        <f>IFERROR('Data Sheet'!I108,0)</f>
        <v>-212</v>
      </c>
      <c r="K88" s="27">
        <f>IFERROR('Data Sheet'!J108,0)</f>
        <v>-1</v>
      </c>
      <c r="L88" s="27">
        <f>IFERROR('Data Sheet'!K108,0)</f>
        <v>0</v>
      </c>
    </row>
    <row r="89" spans="2:13" x14ac:dyDescent="0.35">
      <c r="B89" s="5" t="s">
        <v>95</v>
      </c>
      <c r="C89" s="27">
        <f>IFERROR('Data Sheet'!B109,0)</f>
        <v>357</v>
      </c>
      <c r="D89" s="27">
        <f>IFERROR('Data Sheet'!C109,0)</f>
        <v>362</v>
      </c>
      <c r="E89" s="27">
        <f>IFERROR('Data Sheet'!D109,0)</f>
        <v>733</v>
      </c>
      <c r="F89" s="27">
        <f>IFERROR('Data Sheet'!E109,0)</f>
        <v>118</v>
      </c>
      <c r="G89" s="27">
        <f>IFERROR('Data Sheet'!F109,0)</f>
        <v>272</v>
      </c>
      <c r="H89" s="27">
        <f>IFERROR('Data Sheet'!G109,0)</f>
        <v>207</v>
      </c>
      <c r="I89" s="27">
        <f>IFERROR('Data Sheet'!H109,0)</f>
        <v>446</v>
      </c>
      <c r="J89" s="27">
        <f>IFERROR('Data Sheet'!I109,0)</f>
        <v>240</v>
      </c>
      <c r="K89" s="27">
        <f>IFERROR('Data Sheet'!J109,0)</f>
        <v>421</v>
      </c>
      <c r="L89" s="27">
        <f>IFERROR('Data Sheet'!K109,0)</f>
        <v>1197</v>
      </c>
    </row>
    <row r="90" spans="2:13" x14ac:dyDescent="0.35">
      <c r="B90" s="5" t="s">
        <v>96</v>
      </c>
      <c r="C90" s="27">
        <f>IFERROR('Data Sheet'!B110,0)</f>
        <v>32</v>
      </c>
      <c r="D90" s="27">
        <f>IFERROR('Data Sheet'!C110,0)</f>
        <v>39</v>
      </c>
      <c r="E90" s="27">
        <f>IFERROR('Data Sheet'!D110,0)</f>
        <v>40</v>
      </c>
      <c r="F90" s="27">
        <f>IFERROR('Data Sheet'!E110,0)</f>
        <v>65</v>
      </c>
      <c r="G90" s="27">
        <f>IFERROR('Data Sheet'!F110,0)</f>
        <v>73</v>
      </c>
      <c r="H90" s="27">
        <f>IFERROR('Data Sheet'!G110,0)</f>
        <v>77</v>
      </c>
      <c r="I90" s="27">
        <f>IFERROR('Data Sheet'!H110,0)</f>
        <v>87</v>
      </c>
      <c r="J90" s="27">
        <f>IFERROR('Data Sheet'!I110,0)</f>
        <v>135</v>
      </c>
      <c r="K90" s="27">
        <f>IFERROR('Data Sheet'!J110,0)</f>
        <v>155</v>
      </c>
      <c r="L90" s="27">
        <f>IFERROR('Data Sheet'!K110,0)</f>
        <v>153</v>
      </c>
    </row>
    <row r="91" spans="2:13" x14ac:dyDescent="0.35">
      <c r="B91" s="5" t="s">
        <v>194</v>
      </c>
      <c r="C91" s="27">
        <f>IFERROR('Data Sheet'!B111,0)</f>
        <v>74</v>
      </c>
      <c r="D91" s="27">
        <f>IFERROR('Data Sheet'!C111,0)</f>
        <v>38</v>
      </c>
      <c r="E91" s="27">
        <f>IFERROR('Data Sheet'!D111,0)</f>
        <v>40</v>
      </c>
      <c r="F91" s="27">
        <f>IFERROR('Data Sheet'!E111,0)</f>
        <v>27</v>
      </c>
      <c r="G91" s="27">
        <f>IFERROR('Data Sheet'!F111,0)</f>
        <v>8</v>
      </c>
      <c r="H91" s="27">
        <f>IFERROR('Data Sheet'!G111,0)</f>
        <v>15</v>
      </c>
      <c r="I91" s="27">
        <f>IFERROR('Data Sheet'!H111,0)</f>
        <v>56</v>
      </c>
      <c r="J91" s="27">
        <f>IFERROR('Data Sheet'!I111,0)</f>
        <v>129</v>
      </c>
      <c r="K91" s="27">
        <f>IFERROR('Data Sheet'!J111,0)</f>
        <v>136</v>
      </c>
      <c r="L91" s="27">
        <f>IFERROR('Data Sheet'!K111,0)</f>
        <v>118</v>
      </c>
    </row>
    <row r="92" spans="2:13" x14ac:dyDescent="0.35">
      <c r="B92" s="5" t="s">
        <v>97</v>
      </c>
      <c r="C92" s="27">
        <f>IFERROR('Data Sheet'!B112,0)</f>
        <v>0</v>
      </c>
      <c r="D92" s="27">
        <f>IFERROR('Data Sheet'!C112,0)</f>
        <v>0</v>
      </c>
      <c r="E92" s="27">
        <f>IFERROR('Data Sheet'!D112,0)</f>
        <v>0</v>
      </c>
      <c r="F92" s="27">
        <f>IFERROR('Data Sheet'!E112,0)</f>
        <v>0</v>
      </c>
      <c r="G92" s="27">
        <f>IFERROR('Data Sheet'!F112,0)</f>
        <v>0</v>
      </c>
      <c r="H92" s="27">
        <f>IFERROR('Data Sheet'!G112,0)</f>
        <v>0</v>
      </c>
      <c r="I92" s="27">
        <f>IFERROR('Data Sheet'!H112,0)</f>
        <v>-180</v>
      </c>
      <c r="J92" s="27">
        <f>IFERROR('Data Sheet'!I112,0)</f>
        <v>0</v>
      </c>
      <c r="K92" s="27">
        <f>IFERROR('Data Sheet'!J112,0)</f>
        <v>0</v>
      </c>
      <c r="L92" s="27">
        <f>IFERROR('Data Sheet'!K112,0)</f>
        <v>0</v>
      </c>
    </row>
    <row r="93" spans="2:13" x14ac:dyDescent="0.35">
      <c r="B93" s="5" t="s">
        <v>199</v>
      </c>
      <c r="C93" s="27">
        <f>IFERROR('Data Sheet'!B113,0)</f>
        <v>0</v>
      </c>
      <c r="D93" s="27">
        <f>IFERROR('Data Sheet'!C113,0)</f>
        <v>141</v>
      </c>
      <c r="E93" s="27">
        <f>IFERROR('Data Sheet'!D113,0)</f>
        <v>0</v>
      </c>
      <c r="F93" s="27">
        <f>IFERROR('Data Sheet'!E113,0)</f>
        <v>17</v>
      </c>
      <c r="G93" s="27">
        <f>IFERROR('Data Sheet'!F113,0)</f>
        <v>0</v>
      </c>
      <c r="H93" s="27">
        <f>IFERROR('Data Sheet'!G113,0)</f>
        <v>0</v>
      </c>
      <c r="I93" s="27">
        <f>IFERROR('Data Sheet'!H113,0)</f>
        <v>0</v>
      </c>
      <c r="J93" s="27">
        <f>IFERROR('Data Sheet'!I113,0)</f>
        <v>0</v>
      </c>
      <c r="K93" s="27">
        <f>IFERROR('Data Sheet'!J113,0)</f>
        <v>38</v>
      </c>
      <c r="L93" s="27">
        <f>IFERROR('Data Sheet'!K113,0)</f>
        <v>0</v>
      </c>
    </row>
    <row r="94" spans="2:13" x14ac:dyDescent="0.35">
      <c r="B94" s="5" t="s">
        <v>98</v>
      </c>
      <c r="C94" s="27">
        <f>IFERROR('Data Sheet'!B114,0)</f>
        <v>0</v>
      </c>
      <c r="D94" s="27">
        <f>IFERROR('Data Sheet'!C114,0)</f>
        <v>-525</v>
      </c>
      <c r="E94" s="27">
        <f>IFERROR('Data Sheet'!D114,0)</f>
        <v>0</v>
      </c>
      <c r="F94" s="27">
        <f>IFERROR('Data Sheet'!E114,0)</f>
        <v>0</v>
      </c>
      <c r="G94" s="27">
        <f>IFERROR('Data Sheet'!F114,0)</f>
        <v>0</v>
      </c>
      <c r="H94" s="27">
        <f>IFERROR('Data Sheet'!G114,0)</f>
        <v>0</v>
      </c>
      <c r="I94" s="27">
        <f>IFERROR('Data Sheet'!H114,0)</f>
        <v>0</v>
      </c>
      <c r="J94" s="27">
        <f>IFERROR('Data Sheet'!I114,0)</f>
        <v>0</v>
      </c>
      <c r="K94" s="27">
        <f>IFERROR('Data Sheet'!J114,0)</f>
        <v>0</v>
      </c>
      <c r="L94" s="27">
        <f>IFERROR('Data Sheet'!K114,0)</f>
        <v>0</v>
      </c>
    </row>
    <row r="95" spans="2:13" x14ac:dyDescent="0.35">
      <c r="B95" s="5" t="s">
        <v>99</v>
      </c>
      <c r="C95" s="27">
        <f>IFERROR('Data Sheet'!B115,0)</f>
        <v>-324</v>
      </c>
      <c r="D95" s="27">
        <f>IFERROR('Data Sheet'!C115,0)</f>
        <v>118</v>
      </c>
      <c r="E95" s="27">
        <f>IFERROR('Data Sheet'!D115,0)</f>
        <v>-24</v>
      </c>
      <c r="F95" s="27">
        <f>IFERROR('Data Sheet'!E115,0)</f>
        <v>-343</v>
      </c>
      <c r="G95" s="27">
        <f>IFERROR('Data Sheet'!F115,0)</f>
        <v>-493</v>
      </c>
      <c r="H95" s="27">
        <f>IFERROR('Data Sheet'!G115,0)</f>
        <v>-105</v>
      </c>
      <c r="I95" s="27">
        <f>IFERROR('Data Sheet'!H115,0)</f>
        <v>-126</v>
      </c>
      <c r="J95" s="27">
        <f>IFERROR('Data Sheet'!I115,0)</f>
        <v>-350</v>
      </c>
      <c r="K95" s="27">
        <f>IFERROR('Data Sheet'!J115,0)</f>
        <v>130</v>
      </c>
      <c r="L95" s="27">
        <f>IFERROR('Data Sheet'!K115,0)</f>
        <v>-1312</v>
      </c>
    </row>
    <row r="96" spans="2:13" x14ac:dyDescent="0.35">
      <c r="B96" s="29" t="s">
        <v>110</v>
      </c>
      <c r="C96" s="28">
        <f t="shared" ref="C96:L96" si="26">SUM(C86:C95)</f>
        <v>-681</v>
      </c>
      <c r="D96" s="28">
        <f t="shared" si="26"/>
        <v>-1556</v>
      </c>
      <c r="E96" s="28">
        <f t="shared" si="26"/>
        <v>-918</v>
      </c>
      <c r="F96" s="28">
        <f t="shared" si="26"/>
        <v>-518</v>
      </c>
      <c r="G96" s="28">
        <f t="shared" si="26"/>
        <v>-541</v>
      </c>
      <c r="H96" s="28">
        <f t="shared" si="26"/>
        <v>-317</v>
      </c>
      <c r="I96" s="28">
        <f t="shared" si="26"/>
        <v>-1283</v>
      </c>
      <c r="J96" s="28">
        <f t="shared" si="26"/>
        <v>-2549</v>
      </c>
      <c r="K96" s="28">
        <f t="shared" si="26"/>
        <v>-941</v>
      </c>
      <c r="L96" s="28">
        <f t="shared" si="26"/>
        <v>-1328</v>
      </c>
    </row>
    <row r="97" spans="2:13" x14ac:dyDescent="0.35">
      <c r="M97" s="23"/>
    </row>
    <row r="98" spans="2:13" s="23" customFormat="1" x14ac:dyDescent="0.35">
      <c r="B98" s="22" t="s">
        <v>111</v>
      </c>
      <c r="C98"/>
      <c r="D98"/>
      <c r="E98"/>
      <c r="F98"/>
      <c r="G98"/>
      <c r="H98"/>
      <c r="I98"/>
      <c r="J98"/>
      <c r="K98"/>
      <c r="L98"/>
      <c r="M98"/>
    </row>
    <row r="99" spans="2:13" s="23" customFormat="1" x14ac:dyDescent="0.35">
      <c r="B99" s="111" t="s">
        <v>195</v>
      </c>
      <c r="C99">
        <f>IFERROR('Data Sheet'!B117,0)</f>
        <v>0</v>
      </c>
      <c r="D99">
        <f>IFERROR('Data Sheet'!C117,0)</f>
        <v>0</v>
      </c>
      <c r="E99">
        <f>IFERROR('Data Sheet'!D117,0)</f>
        <v>0</v>
      </c>
      <c r="F99">
        <f>IFERROR('Data Sheet'!E117,0)</f>
        <v>0</v>
      </c>
      <c r="G99">
        <f>IFERROR('Data Sheet'!F117,0)</f>
        <v>0</v>
      </c>
      <c r="H99">
        <f>IFERROR('Data Sheet'!G117,0)</f>
        <v>0</v>
      </c>
      <c r="I99">
        <f>IFERROR('Data Sheet'!H117,0)</f>
        <v>0</v>
      </c>
      <c r="J99">
        <f>IFERROR('Data Sheet'!I117,0)</f>
        <v>1</v>
      </c>
      <c r="K99">
        <f>IFERROR('Data Sheet'!J117,0)</f>
        <v>0</v>
      </c>
      <c r="L99">
        <f>IFERROR('Data Sheet'!K117,0)</f>
        <v>0</v>
      </c>
      <c r="M99"/>
    </row>
    <row r="100" spans="2:13" x14ac:dyDescent="0.35">
      <c r="B100" s="5" t="s">
        <v>100</v>
      </c>
      <c r="C100" s="27">
        <f>IFERROR('Data Sheet'!B118,0)</f>
        <v>271</v>
      </c>
      <c r="D100" s="27">
        <f>IFERROR('Data Sheet'!C118,0)</f>
        <v>10</v>
      </c>
      <c r="E100" s="27">
        <f>IFERROR('Data Sheet'!D118,0)</f>
        <v>243</v>
      </c>
      <c r="F100" s="27">
        <f>IFERROR('Data Sheet'!E118,0)</f>
        <v>18</v>
      </c>
      <c r="G100" s="27">
        <f>IFERROR('Data Sheet'!F118,0)</f>
        <v>155</v>
      </c>
      <c r="H100" s="27">
        <f>IFERROR('Data Sheet'!G118,0)</f>
        <v>418</v>
      </c>
      <c r="I100" s="27">
        <f>IFERROR('Data Sheet'!H118,0)</f>
        <v>254</v>
      </c>
      <c r="J100" s="27">
        <f>IFERROR('Data Sheet'!I118,0)</f>
        <v>101</v>
      </c>
      <c r="K100" s="27">
        <f>IFERROR('Data Sheet'!J118,0)</f>
        <v>415</v>
      </c>
      <c r="L100" s="27">
        <f>IFERROR('Data Sheet'!K118,0)</f>
        <v>1279</v>
      </c>
    </row>
    <row r="101" spans="2:13" x14ac:dyDescent="0.35">
      <c r="B101" s="5" t="s">
        <v>101</v>
      </c>
      <c r="C101" s="27">
        <f>IFERROR('Data Sheet'!B119,0)</f>
        <v>-58</v>
      </c>
      <c r="D101" s="27">
        <f>IFERROR('Data Sheet'!C119,0)</f>
        <v>-54</v>
      </c>
      <c r="E101" s="27">
        <f>IFERROR('Data Sheet'!D119,0)</f>
        <v>-26</v>
      </c>
      <c r="F101" s="27">
        <f>IFERROR('Data Sheet'!E119,0)</f>
        <v>-482</v>
      </c>
      <c r="G101" s="27">
        <f>IFERROR('Data Sheet'!F119,0)</f>
        <v>-14</v>
      </c>
      <c r="H101" s="27">
        <f>IFERROR('Data Sheet'!G119,0)</f>
        <v>-8</v>
      </c>
      <c r="I101" s="27">
        <f>IFERROR('Data Sheet'!H119,0)</f>
        <v>-25</v>
      </c>
      <c r="J101" s="27">
        <f>IFERROR('Data Sheet'!I119,0)</f>
        <v>-98</v>
      </c>
      <c r="K101" s="27">
        <f>IFERROR('Data Sheet'!J119,0)</f>
        <v>-428</v>
      </c>
      <c r="L101" s="27">
        <f>IFERROR('Data Sheet'!K119,0)</f>
        <v>-452</v>
      </c>
    </row>
    <row r="102" spans="2:13" x14ac:dyDescent="0.35">
      <c r="B102" s="5" t="s">
        <v>102</v>
      </c>
      <c r="C102" s="27">
        <f>IFERROR('Data Sheet'!B120,0)</f>
        <v>-36</v>
      </c>
      <c r="D102" s="27">
        <f>IFERROR('Data Sheet'!C120,0)</f>
        <v>-35</v>
      </c>
      <c r="E102" s="27">
        <f>IFERROR('Data Sheet'!D120,0)</f>
        <v>-106</v>
      </c>
      <c r="F102" s="27">
        <f>IFERROR('Data Sheet'!E120,0)</f>
        <v>-101</v>
      </c>
      <c r="G102" s="27">
        <f>IFERROR('Data Sheet'!F120,0)</f>
        <v>-89</v>
      </c>
      <c r="H102" s="27">
        <f>IFERROR('Data Sheet'!G120,0)</f>
        <v>-94</v>
      </c>
      <c r="I102" s="27">
        <f>IFERROR('Data Sheet'!H120,0)</f>
        <v>-142</v>
      </c>
      <c r="J102" s="27">
        <f>IFERROR('Data Sheet'!I120,0)</f>
        <v>-191</v>
      </c>
      <c r="K102" s="27">
        <f>IFERROR('Data Sheet'!J120,0)</f>
        <v>-203</v>
      </c>
      <c r="L102" s="27">
        <f>IFERROR('Data Sheet'!K120,0)</f>
        <v>-228</v>
      </c>
    </row>
    <row r="103" spans="2:13" x14ac:dyDescent="0.35">
      <c r="B103" s="5" t="s">
        <v>103</v>
      </c>
      <c r="C103" s="27">
        <f>IFERROR('Data Sheet'!B121,0)</f>
        <v>-947</v>
      </c>
      <c r="D103" s="27">
        <f>IFERROR('Data Sheet'!C121,0)</f>
        <v>-1218</v>
      </c>
      <c r="E103" s="27">
        <f>IFERROR('Data Sheet'!D121,0)</f>
        <v>-1049</v>
      </c>
      <c r="F103" s="27">
        <f>IFERROR('Data Sheet'!E121,0)</f>
        <v>-2121</v>
      </c>
      <c r="G103" s="27">
        <f>IFERROR('Data Sheet'!F121,0)</f>
        <v>-499</v>
      </c>
      <c r="H103" s="27">
        <f>IFERROR('Data Sheet'!G121,0)</f>
        <v>-1763</v>
      </c>
      <c r="I103" s="27">
        <f>IFERROR('Data Sheet'!H121,0)</f>
        <v>-1936</v>
      </c>
      <c r="J103" s="27">
        <f>IFERROR('Data Sheet'!I121,0)</f>
        <v>-2551</v>
      </c>
      <c r="K103" s="27">
        <f>IFERROR('Data Sheet'!J121,0)</f>
        <v>-3140</v>
      </c>
      <c r="L103" s="27">
        <f>IFERROR('Data Sheet'!K121,0)</f>
        <v>-2425</v>
      </c>
    </row>
    <row r="104" spans="2:13" x14ac:dyDescent="0.35">
      <c r="B104" s="5" t="s">
        <v>104</v>
      </c>
      <c r="C104" s="27">
        <f>IFERROR('Data Sheet'!B122,0)</f>
        <v>0</v>
      </c>
      <c r="D104" s="27">
        <f>IFERROR('Data Sheet'!C122,0)</f>
        <v>0</v>
      </c>
      <c r="E104" s="27">
        <f>IFERROR('Data Sheet'!D122,0)</f>
        <v>-180</v>
      </c>
      <c r="F104" s="27">
        <f>IFERROR('Data Sheet'!E122,0)</f>
        <v>-179</v>
      </c>
      <c r="G104" s="27">
        <f>IFERROR('Data Sheet'!F122,0)</f>
        <v>-203</v>
      </c>
      <c r="H104" s="27">
        <f>IFERROR('Data Sheet'!G122,0)</f>
        <v>-221</v>
      </c>
      <c r="I104" s="27">
        <f>IFERROR('Data Sheet'!H122,0)</f>
        <v>-256</v>
      </c>
      <c r="J104" s="27">
        <f>IFERROR('Data Sheet'!I122,0)</f>
        <v>-286</v>
      </c>
      <c r="K104" s="27">
        <f>IFERROR('Data Sheet'!J122,0)</f>
        <v>-325</v>
      </c>
      <c r="L104" s="27">
        <f>IFERROR('Data Sheet'!K122,0)</f>
        <v>-340</v>
      </c>
    </row>
    <row r="105" spans="2:13" x14ac:dyDescent="0.35">
      <c r="B105" s="5" t="s">
        <v>105</v>
      </c>
      <c r="C105" s="27">
        <f>IFERROR('Data Sheet'!B123,0)</f>
        <v>13</v>
      </c>
      <c r="D105" s="27">
        <f>IFERROR('Data Sheet'!C123,0)</f>
        <v>-82</v>
      </c>
      <c r="E105" s="27">
        <f>IFERROR('Data Sheet'!D123,0)</f>
        <v>0</v>
      </c>
      <c r="F105" s="27">
        <f>IFERROR('Data Sheet'!E123,0)</f>
        <v>-6</v>
      </c>
      <c r="G105" s="27">
        <f>IFERROR('Data Sheet'!F123,0)</f>
        <v>0</v>
      </c>
      <c r="H105" s="27">
        <f>IFERROR('Data Sheet'!G123,0)</f>
        <v>-140</v>
      </c>
      <c r="I105" s="27">
        <f>IFERROR('Data Sheet'!H123,0)</f>
        <v>-36</v>
      </c>
      <c r="J105" s="27">
        <f>IFERROR('Data Sheet'!I123,0)</f>
        <v>41</v>
      </c>
      <c r="K105" s="27">
        <f>IFERROR('Data Sheet'!J123,0)</f>
        <v>-72</v>
      </c>
      <c r="L105" s="27">
        <f>IFERROR('Data Sheet'!K123,0)</f>
        <v>-210</v>
      </c>
    </row>
    <row r="106" spans="2:13" x14ac:dyDescent="0.35">
      <c r="B106" s="29" t="s">
        <v>33</v>
      </c>
      <c r="C106" s="28">
        <f>SUM(C99:C105)</f>
        <v>-757</v>
      </c>
      <c r="D106" s="28">
        <f t="shared" ref="D106:L106" si="27">SUM(D99:D105)</f>
        <v>-1379</v>
      </c>
      <c r="E106" s="28">
        <f t="shared" si="27"/>
        <v>-1118</v>
      </c>
      <c r="F106" s="28">
        <f t="shared" si="27"/>
        <v>-2871</v>
      </c>
      <c r="G106" s="28">
        <f t="shared" si="27"/>
        <v>-650</v>
      </c>
      <c r="H106" s="28">
        <f t="shared" si="27"/>
        <v>-1808</v>
      </c>
      <c r="I106" s="28">
        <f t="shared" si="27"/>
        <v>-2141</v>
      </c>
      <c r="J106" s="28">
        <f t="shared" si="27"/>
        <v>-2983</v>
      </c>
      <c r="K106" s="28">
        <f t="shared" si="27"/>
        <v>-3753</v>
      </c>
      <c r="L106" s="28">
        <f t="shared" si="27"/>
        <v>-2376</v>
      </c>
    </row>
    <row r="107" spans="2:13" x14ac:dyDescent="0.35">
      <c r="B107" s="5"/>
      <c r="C107" s="27"/>
      <c r="D107" s="27"/>
      <c r="E107" s="27"/>
      <c r="F107" s="27"/>
      <c r="G107" s="27"/>
      <c r="H107" s="27"/>
      <c r="I107" s="27"/>
      <c r="J107" s="27"/>
      <c r="K107" s="27"/>
      <c r="L107" s="27"/>
      <c r="M107" s="23"/>
    </row>
    <row r="108" spans="2:13" s="23" customFormat="1" x14ac:dyDescent="0.35">
      <c r="B108" s="22" t="s">
        <v>112</v>
      </c>
      <c r="C108" s="28">
        <f t="shared" ref="C108:L108" si="28">IFERROR(C83+C96+C106,0)</f>
        <v>90</v>
      </c>
      <c r="D108" s="28">
        <f t="shared" si="28"/>
        <v>-822</v>
      </c>
      <c r="E108" s="28">
        <f t="shared" si="28"/>
        <v>433</v>
      </c>
      <c r="F108" s="28">
        <f t="shared" si="28"/>
        <v>-352</v>
      </c>
      <c r="G108" s="28">
        <f t="shared" si="28"/>
        <v>2492</v>
      </c>
      <c r="H108" s="28">
        <f t="shared" si="28"/>
        <v>-1138</v>
      </c>
      <c r="I108" s="28">
        <f t="shared" si="28"/>
        <v>770</v>
      </c>
      <c r="J108" s="28">
        <f t="shared" si="28"/>
        <v>572</v>
      </c>
      <c r="K108" s="28">
        <f t="shared" si="28"/>
        <v>-269</v>
      </c>
      <c r="L108" s="28">
        <f t="shared" si="28"/>
        <v>3384</v>
      </c>
      <c r="M108"/>
    </row>
    <row r="109" spans="2:13" s="23" customFormat="1" x14ac:dyDescent="0.35">
      <c r="B109" s="22"/>
      <c r="C109" s="28"/>
      <c r="D109" s="28"/>
      <c r="E109" s="28"/>
      <c r="F109" s="28"/>
      <c r="G109" s="28"/>
      <c r="H109" s="28"/>
      <c r="I109" s="28"/>
      <c r="J109" s="28"/>
      <c r="K109" s="28"/>
      <c r="L109" s="28"/>
      <c r="M109"/>
    </row>
    <row r="110" spans="2:13" x14ac:dyDescent="0.35">
      <c r="M110" s="23"/>
    </row>
    <row r="111" spans="2:13" s="19" customFormat="1" x14ac:dyDescent="0.35">
      <c r="B111" s="19" t="s">
        <v>200</v>
      </c>
    </row>
    <row r="113" spans="2:12" s="28" customFormat="1" x14ac:dyDescent="0.35">
      <c r="B113" s="28" t="s">
        <v>201</v>
      </c>
      <c r="C113" s="28">
        <v>1923</v>
      </c>
      <c r="D113" s="28">
        <v>2160</v>
      </c>
      <c r="E113" s="28">
        <v>2394</v>
      </c>
      <c r="F113" s="28">
        <v>2137</v>
      </c>
      <c r="G113" s="28">
        <v>3379</v>
      </c>
      <c r="H113" s="28">
        <v>4164</v>
      </c>
      <c r="I113" s="28">
        <v>3635</v>
      </c>
      <c r="J113" s="28">
        <v>3831</v>
      </c>
      <c r="K113" s="28">
        <v>3848</v>
      </c>
      <c r="L113" s="28">
        <v>3863</v>
      </c>
    </row>
  </sheetData>
  <mergeCells count="1">
    <mergeCell ref="B2:M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CB95-2D86-4632-802F-37EC924ECBD8}">
  <dimension ref="B1:O41"/>
  <sheetViews>
    <sheetView showGridLines="0" zoomScale="93" zoomScaleNormal="82" workbookViewId="0">
      <pane xSplit="1" ySplit="3" topLeftCell="B4" activePane="bottomRight" state="frozen"/>
      <selection pane="topRight" activeCell="B1" sqref="B1"/>
      <selection pane="bottomLeft" activeCell="A4" sqref="A4"/>
      <selection pane="bottomRight" activeCell="O25" sqref="O25"/>
    </sheetView>
  </sheetViews>
  <sheetFormatPr defaultRowHeight="14.5" x14ac:dyDescent="0.35"/>
  <cols>
    <col min="1" max="1" width="1.81640625" customWidth="1"/>
    <col min="2" max="2" width="24.26953125" bestFit="1" customWidth="1"/>
    <col min="13" max="13" width="12.90625" customWidth="1"/>
  </cols>
  <sheetData>
    <row r="1" spans="2:15" x14ac:dyDescent="0.35">
      <c r="B1" s="49"/>
      <c r="C1" s="49"/>
      <c r="D1" s="49"/>
      <c r="E1" s="49"/>
      <c r="F1" s="49"/>
      <c r="G1" s="49"/>
      <c r="H1" s="49"/>
      <c r="I1" s="49"/>
      <c r="J1" s="49"/>
      <c r="K1" s="49"/>
      <c r="L1" s="49"/>
      <c r="M1" s="49"/>
      <c r="N1" s="49"/>
      <c r="O1" s="49"/>
    </row>
    <row r="2" spans="2:15" x14ac:dyDescent="0.35">
      <c r="B2" s="134" t="str">
        <f xml:space="preserve"> "Ratio Analysis -" &amp; 'Data Sheet'!B1</f>
        <v>Ratio Analysis -ASIAN PAINTS LTD</v>
      </c>
      <c r="C2" s="134"/>
      <c r="D2" s="134"/>
      <c r="E2" s="134"/>
      <c r="F2" s="134"/>
      <c r="G2" s="134"/>
      <c r="H2" s="134"/>
      <c r="I2" s="134"/>
      <c r="J2" s="134"/>
      <c r="K2" s="134"/>
      <c r="L2" s="134"/>
      <c r="M2" s="134"/>
      <c r="N2" s="134"/>
      <c r="O2" s="134"/>
    </row>
    <row r="3" spans="2:15" x14ac:dyDescent="0.35">
      <c r="B3" s="38" t="s">
        <v>20</v>
      </c>
      <c r="C3" s="50">
        <f>'Data Sheet'!B16</f>
        <v>42825</v>
      </c>
      <c r="D3" s="50">
        <f>'Data Sheet'!C16</f>
        <v>43190</v>
      </c>
      <c r="E3" s="50">
        <f>'Data Sheet'!D16</f>
        <v>43555</v>
      </c>
      <c r="F3" s="50">
        <f>'Data Sheet'!E16</f>
        <v>43921</v>
      </c>
      <c r="G3" s="50">
        <f>'Data Sheet'!F16</f>
        <v>44286</v>
      </c>
      <c r="H3" s="50">
        <f>'Data Sheet'!G16</f>
        <v>44651</v>
      </c>
      <c r="I3" s="50">
        <f>'Data Sheet'!H16</f>
        <v>45016</v>
      </c>
      <c r="J3" s="50">
        <f>'Data Sheet'!I16</f>
        <v>45382</v>
      </c>
      <c r="K3" s="50">
        <f>'Data Sheet'!J16</f>
        <v>45747</v>
      </c>
      <c r="L3" s="50">
        <f>'Data Sheet'!K16</f>
        <v>46112</v>
      </c>
      <c r="M3" s="50" t="s">
        <v>148</v>
      </c>
      <c r="N3" s="50" t="s">
        <v>146</v>
      </c>
      <c r="O3" s="50" t="s">
        <v>147</v>
      </c>
    </row>
    <row r="5" spans="2:15" x14ac:dyDescent="0.35">
      <c r="B5" s="39" t="s">
        <v>9</v>
      </c>
      <c r="C5" s="40"/>
      <c r="D5" s="40">
        <f>IFERROR('Historical FS'!D6,0)</f>
        <v>0.11702039371955486</v>
      </c>
      <c r="E5" s="40">
        <f>IFERROR('Historical FS'!E6,0)</f>
        <v>0.14357471670861943</v>
      </c>
      <c r="F5" s="40">
        <f>IFERROR('Historical FS'!F6,0)</f>
        <v>5.0473671435691925E-2</v>
      </c>
      <c r="G5" s="40">
        <f>IFERROR('Historical FS'!G6,0)</f>
        <v>7.4292287711052118E-2</v>
      </c>
      <c r="H5" s="40">
        <f>IFERROR('Historical FS'!H6,0)</f>
        <v>0.34028284711453471</v>
      </c>
      <c r="I5" s="40">
        <f>IFERROR('Historical FS'!I6,0)</f>
        <v>0.18512278497715551</v>
      </c>
      <c r="J5" s="40">
        <f>IFERROR('Historical FS'!J6,0)</f>
        <v>2.9173126532572313E-2</v>
      </c>
      <c r="K5" s="40">
        <f>IFERROR('Historical FS'!K6,0)</f>
        <v>-4.4770308155605121E-2</v>
      </c>
      <c r="L5" s="40">
        <f>IFERROR('Historical FS'!L6,0)</f>
        <v>4.9487960992897317E-2</v>
      </c>
      <c r="M5" s="39"/>
      <c r="N5" s="40">
        <f>IFERROR(AVERAGE(D5:L5),0)</f>
        <v>0.1049619423373859</v>
      </c>
      <c r="O5" s="40">
        <f>IFERROR(MEDIAN(D5:L5),0)</f>
        <v>7.4292287711052118E-2</v>
      </c>
    </row>
    <row r="6" spans="2:15" x14ac:dyDescent="0.35">
      <c r="B6" t="s">
        <v>117</v>
      </c>
      <c r="D6" s="36">
        <f>IFERROR('Historical FS'!D17/'Historical FS'!C17-1,0)</f>
        <v>7.0229410507188561E-2</v>
      </c>
      <c r="E6" s="36">
        <f>IFERROR('Historical FS'!E17/'Historical FS'!D17-1,0)</f>
        <v>0.17507123885381137</v>
      </c>
      <c r="F6" s="36">
        <f>IFERROR('Historical FS'!F17/'Historical FS'!E17-1,0)</f>
        <v>0.10540141409955961</v>
      </c>
      <c r="G6" s="36">
        <f>IFERROR('Historical FS'!G17/'Historical FS'!F17-1,0)</f>
        <v>0.16671512361327179</v>
      </c>
      <c r="H6" s="36">
        <f>IFERROR('Historical FS'!H17/'Historical FS'!G17-1,0)</f>
        <v>-1.0707224647830249E-2</v>
      </c>
      <c r="I6" s="36">
        <f>IFERROR('Historical FS'!I17/'Historical FS'!H17-1,0)</f>
        <v>0.3031532534906034</v>
      </c>
      <c r="J6" s="36">
        <f>IFERROR('Historical FS'!J17/'Historical FS'!I17-1,0)</f>
        <v>0.21168911665473988</v>
      </c>
      <c r="K6" s="36">
        <f>IFERROR('Historical FS'!K17/'Historical FS'!J17-1,0)</f>
        <v>-0.20814425351154509</v>
      </c>
      <c r="L6" s="36">
        <f>IFERROR('Historical FS'!L17/'Historical FS'!K17-1,0)</f>
        <v>0.11546715815797359</v>
      </c>
      <c r="N6" s="36">
        <f t="shared" ref="N6:N7" si="0">IFERROR(AVERAGE(D6:L6),0)</f>
        <v>0.10320835969086367</v>
      </c>
      <c r="O6" s="36">
        <f t="shared" ref="O6:O9" si="1">IFERROR(MEDIAN(D6:L6),0)</f>
        <v>0.11546715815797359</v>
      </c>
    </row>
    <row r="7" spans="2:15" x14ac:dyDescent="0.35">
      <c r="B7" t="s">
        <v>118</v>
      </c>
      <c r="D7" s="36">
        <f>IFERROR('Historical FS'!D23/'Historical FS'!C23-1,0)</f>
        <v>6.9414096435838069E-2</v>
      </c>
      <c r="E7" s="36">
        <f>IFERROR('Historical FS'!E23/'Historical FS'!D23-1,0)</f>
        <v>0.10524205743545045</v>
      </c>
      <c r="F7" s="36">
        <f>IFERROR('Historical FS'!F23/'Historical FS'!E23-1,0)</f>
        <v>7.5878197785413048E-2</v>
      </c>
      <c r="G7" s="36">
        <f>IFERROR('Historical FS'!G23/'Historical FS'!F23-1,0)</f>
        <v>0.20201285315872619</v>
      </c>
      <c r="H7" s="36">
        <f>IFERROR('Historical FS'!H23/'Historical FS'!G23-1,0)</f>
        <v>-1.896499546050745E-2</v>
      </c>
      <c r="I7" s="36">
        <f>IFERROR('Historical FS'!I23/'Historical FS'!H23-1,0)</f>
        <v>0.35477334002131733</v>
      </c>
      <c r="J7" s="36">
        <f>IFERROR('Historical FS'!J23/'Historical FS'!I23-1,0)</f>
        <v>0.2462429329374185</v>
      </c>
      <c r="K7" s="36">
        <f>IFERROR('Historical FS'!K23/'Historical FS'!J23-1,0)</f>
        <v>-0.26026666745890503</v>
      </c>
      <c r="L7" s="36">
        <f>IFERROR('Historical FS'!L23/'Historical FS'!K23-1,0)</f>
        <v>9.8598959410587605E-2</v>
      </c>
      <c r="N7" s="36">
        <f t="shared" si="0"/>
        <v>9.6992308251704296E-2</v>
      </c>
      <c r="O7" s="36">
        <f t="shared" si="1"/>
        <v>9.8598959410587605E-2</v>
      </c>
    </row>
    <row r="8" spans="2:15" x14ac:dyDescent="0.35">
      <c r="B8" t="s">
        <v>119</v>
      </c>
      <c r="D8" s="36">
        <f>IFERROR('Historical FS'!D39/'Historical FS'!C39-1,0)</f>
        <v>5.130373357120388E-2</v>
      </c>
      <c r="E8" s="36">
        <f>IFERROR('Historical FS'!E39/'Historical FS'!D39-1,0)</f>
        <v>5.7378134609819886E-2</v>
      </c>
      <c r="F8" s="36">
        <f>IFERROR('Historical FS'!F39/'Historical FS'!E39-1,0)</f>
        <v>0.25476362759286064</v>
      </c>
      <c r="G8" s="36">
        <f>IFERROR('Historical FS'!G39/'Historical FS'!F39-1,0)</f>
        <v>0.16047789972534066</v>
      </c>
      <c r="H8" s="36">
        <f>IFERROR('Historical FS'!H39/'Historical FS'!G39-1,0)</f>
        <v>-3.463203463203457E-2</v>
      </c>
      <c r="I8" s="36">
        <f>IFERROR('Historical FS'!I39/'Historical FS'!H39-1,0)</f>
        <v>0.3550091236962023</v>
      </c>
      <c r="J8" s="36">
        <f>IFERROR('Historical FS'!J39/'Historical FS'!I39-1,0)</f>
        <v>0.32967161416795521</v>
      </c>
      <c r="K8" s="36">
        <f>IFERROR('Historical FS'!K39/'Historical FS'!J39-1,0)</f>
        <v>-0.32837444576510511</v>
      </c>
      <c r="L8" s="36">
        <f>IFERROR('Historical FS'!L39/'Historical FS'!K39-1,0)</f>
        <v>0.17945970119136256</v>
      </c>
      <c r="N8" s="36">
        <f>IFERROR(AVERAGE(D8:L8),0)</f>
        <v>0.11389526157306726</v>
      </c>
      <c r="O8" s="36">
        <f t="shared" si="1"/>
        <v>0.16047789972534066</v>
      </c>
    </row>
    <row r="9" spans="2:15" x14ac:dyDescent="0.35">
      <c r="B9" s="41" t="s">
        <v>120</v>
      </c>
      <c r="C9" s="41"/>
      <c r="D9" s="42">
        <f>IFERROR('Historical FS'!D47/'Historical FS'!C47-1,0)</f>
        <v>-0.15534727423632066</v>
      </c>
      <c r="E9" s="42">
        <f>IFERROR('Historical FS'!E47/'Historical FS'!D47-1,0)</f>
        <v>0.20690233672858005</v>
      </c>
      <c r="F9" s="42">
        <f>IFERROR('Historical FS'!F47/'Historical FS'!E47-1,0)</f>
        <v>0.14285714285714279</v>
      </c>
      <c r="G9" s="42">
        <f>IFERROR('Historical FS'!G47/'Historical FS'!F47-1,0)</f>
        <v>0.48749826244092298</v>
      </c>
      <c r="H9" s="42">
        <f>IFERROR('Historical FS'!H47/'Historical FS'!G47-1,0)</f>
        <v>7.2831552941588606E-2</v>
      </c>
      <c r="I9" s="42">
        <f>IFERROR('Historical FS'!I47/'Historical FS'!H47-1,0)</f>
        <v>0.33942521789783719</v>
      </c>
      <c r="J9" s="42">
        <f>IFERROR('Historical FS'!J47/'Historical FS'!I47-1,0)</f>
        <v>0.2982461844859472</v>
      </c>
      <c r="K9" s="42">
        <f>IFERROR('Historical FS'!K47/'Historical FS'!J47-1,0)</f>
        <v>-0.25525493560081891</v>
      </c>
      <c r="L9" s="42">
        <f>IFERROR('Historical FS'!L47/'Historical FS'!K47-1,0)</f>
        <v>0.10886910316879783</v>
      </c>
      <c r="M9" s="41"/>
      <c r="N9" s="42">
        <f>IFERROR(AVERAGE(D9:L9),0)</f>
        <v>0.13844751007596412</v>
      </c>
      <c r="O9" s="42">
        <f t="shared" si="1"/>
        <v>0.14285714285714279</v>
      </c>
    </row>
    <row r="10" spans="2:15" x14ac:dyDescent="0.35">
      <c r="N10" s="36"/>
      <c r="O10" s="36"/>
    </row>
    <row r="11" spans="2:15" x14ac:dyDescent="0.35">
      <c r="B11" s="39" t="s">
        <v>25</v>
      </c>
      <c r="C11" s="40">
        <f>IFERROR('Historical FS'!C12,0)</f>
        <v>0.35382642001488518</v>
      </c>
      <c r="D11" s="40">
        <f>IFERROR('Historical FS'!D12,0)</f>
        <v>0.33465263558312119</v>
      </c>
      <c r="E11" s="40">
        <f>IFERROR('Historical FS'!E12,0)</f>
        <v>0.3292243867375117</v>
      </c>
      <c r="F11" s="40">
        <f>IFERROR('Historical FS'!F12,0)</f>
        <v>0.34897544684272364</v>
      </c>
      <c r="G11" s="40">
        <f>IFERROR('Historical FS'!G12,0)</f>
        <v>0.35360356729835285</v>
      </c>
      <c r="H11" s="40">
        <f>IFERROR('Historical FS'!H12,0)</f>
        <v>0.29245139732685294</v>
      </c>
      <c r="I11" s="40">
        <f>IFERROR('Historical FS'!I12,0)</f>
        <v>0.31088223670495074</v>
      </c>
      <c r="J11" s="40">
        <f>IFERROR('Historical FS'!J12,0)</f>
        <v>0.35173503221464147</v>
      </c>
      <c r="K11" s="40">
        <f>IFERROR('Historical FS'!K12,0)</f>
        <v>0.32927727025785108</v>
      </c>
      <c r="L11" s="40">
        <f>IFERROR('Historical FS'!L12,0)</f>
        <v>0.33987371689269824</v>
      </c>
      <c r="M11" s="39"/>
      <c r="N11" s="40">
        <f>IFERROR(AVERAGE(C11:L11),0)</f>
        <v>0.33445021098735889</v>
      </c>
      <c r="O11" s="40">
        <f>IFERROR(MEDIAN(C11:L11),0)</f>
        <v>0.33726317623790969</v>
      </c>
    </row>
    <row r="12" spans="2:15" x14ac:dyDescent="0.35">
      <c r="B12" t="s">
        <v>121</v>
      </c>
      <c r="C12" s="36">
        <f>IFERROR('Historical FS'!C18,0)</f>
        <v>0.19876258050895004</v>
      </c>
      <c r="D12" s="36">
        <f>IFERROR('Historical FS'!D18,0)</f>
        <v>0.19043659414367703</v>
      </c>
      <c r="E12" s="36">
        <f>IFERROR('Historical FS'!E18,0)</f>
        <v>0.19568163000977651</v>
      </c>
      <c r="F12" s="36">
        <f>IFERROR('Historical FS'!F18,0)</f>
        <v>0.2059135382522109</v>
      </c>
      <c r="G12" s="36">
        <f>IFERROR('Historical FS'!G18,0)</f>
        <v>0.22362856178317034</v>
      </c>
      <c r="H12" s="36">
        <f>IFERROR('Historical FS'!H18,0)</f>
        <v>0.16506524798909186</v>
      </c>
      <c r="I12" s="36">
        <f>IFERROR('Historical FS'!I18,0)</f>
        <v>0.1815046657459756</v>
      </c>
      <c r="J12" s="36">
        <f>IFERROR('Historical FS'!J18,0)</f>
        <v>0.21369313134654075</v>
      </c>
      <c r="K12" s="36">
        <f>IFERROR('Historical FS'!K18,0)</f>
        <v>0.17714496888716388</v>
      </c>
      <c r="L12" s="36">
        <f>IFERROR('Historical FS'!L18,0)</f>
        <v>0.18828171677129379</v>
      </c>
      <c r="N12" s="36">
        <f t="shared" ref="N12:N23" si="2">IFERROR(AVERAGE(C12:L12),0)</f>
        <v>0.19401126354378506</v>
      </c>
      <c r="O12" s="36">
        <f t="shared" ref="O12:O31" si="3">IFERROR(MEDIAN(C12:L12),0)</f>
        <v>0.19305911207672677</v>
      </c>
    </row>
    <row r="13" spans="2:15" x14ac:dyDescent="0.35">
      <c r="B13" t="s">
        <v>122</v>
      </c>
      <c r="C13" s="36">
        <f>IFERROR('Historical FS'!C24,0)</f>
        <v>0.17653510591893901</v>
      </c>
      <c r="D13" s="36">
        <f>IFERROR('Historical FS'!D24,0)</f>
        <v>0.16901135543001156</v>
      </c>
      <c r="E13" s="36">
        <f>IFERROR('Historical FS'!E24,0)</f>
        <v>0.16334608965739844</v>
      </c>
      <c r="F13" s="36">
        <f>IFERROR('Historical FS'!F24,0)</f>
        <v>0.16729643144288442</v>
      </c>
      <c r="G13" s="36">
        <f>IFERROR('Historical FS'!G24,0)</f>
        <v>0.18718598577152007</v>
      </c>
      <c r="H13" s="36">
        <f>IFERROR('Historical FS'!H24,0)</f>
        <v>0.13701287366053996</v>
      </c>
      <c r="I13" s="36">
        <f>IFERROR('Historical FS'!I24,0)</f>
        <v>0.15662629292760291</v>
      </c>
      <c r="J13" s="36">
        <f>IFERROR('Historical FS'!J24,0)</f>
        <v>0.18966139480424279</v>
      </c>
      <c r="K13" s="36">
        <f>IFERROR('Historical FS'!K24,0)</f>
        <v>0.14687447095791203</v>
      </c>
      <c r="L13" s="36">
        <f>IFERROR('Historical FS'!L24,0)</f>
        <v>0.15374749111527422</v>
      </c>
      <c r="N13" s="36">
        <f t="shared" si="2"/>
        <v>0.16472974916863253</v>
      </c>
      <c r="O13" s="36">
        <f t="shared" si="3"/>
        <v>0.16532126055014143</v>
      </c>
    </row>
    <row r="14" spans="2:15" x14ac:dyDescent="0.35">
      <c r="B14" t="s">
        <v>136</v>
      </c>
      <c r="C14" s="36">
        <f>IFERROR('Historical FS'!C33,0)</f>
        <v>0.19649063636345532</v>
      </c>
      <c r="D14" s="36">
        <f>IFERROR('Historical FS'!D33,0)</f>
        <v>0.18654169056527523</v>
      </c>
      <c r="E14" s="36">
        <f>IFERROR('Historical FS'!E33,0)</f>
        <v>0.17183355829716335</v>
      </c>
      <c r="F14" s="36">
        <f>IFERROR('Historical FS'!F33,0)</f>
        <v>0.17955544560578873</v>
      </c>
      <c r="G14" s="36">
        <f>IFERROR('Historical FS'!G33,0)</f>
        <v>0.19824029984170632</v>
      </c>
      <c r="H14" s="36">
        <f>IFERROR('Historical FS'!H33,0)</f>
        <v>0.14390157408883728</v>
      </c>
      <c r="I14" s="36">
        <f>IFERROR('Historical FS'!I33,0)</f>
        <v>0.16494817561402181</v>
      </c>
      <c r="J14" s="36">
        <f>IFERROR('Historical FS'!J33,0)</f>
        <v>0.20701016742485437</v>
      </c>
      <c r="K14" s="36">
        <f>IFERROR('Historical FS'!K33,0)</f>
        <v>0.15050808685993652</v>
      </c>
      <c r="L14" s="36">
        <f>IFERROR('Historical FS'!L33,0)</f>
        <v>0.16871396156762383</v>
      </c>
      <c r="N14" s="36">
        <f t="shared" si="2"/>
        <v>0.17677435962286628</v>
      </c>
      <c r="O14" s="36">
        <f t="shared" si="3"/>
        <v>0.17569450195147604</v>
      </c>
    </row>
    <row r="15" spans="2:15" x14ac:dyDescent="0.35">
      <c r="B15" s="41" t="s">
        <v>123</v>
      </c>
      <c r="C15" s="42">
        <f>IFERROR('Historical FS'!C40,0)</f>
        <v>0.12876319795724203</v>
      </c>
      <c r="D15" s="42">
        <f>IFERROR('Historical FS'!D40,0)</f>
        <v>0.12118778808348515</v>
      </c>
      <c r="E15" s="42">
        <f>IFERROR('Historical FS'!E40,0)</f>
        <v>0.11205329693718286</v>
      </c>
      <c r="F15" s="42">
        <f>IFERROR('Historical FS'!F40,0)</f>
        <v>0.13384476467313997</v>
      </c>
      <c r="G15" s="42">
        <f>IFERROR('Historical FS'!G40,0)</f>
        <v>0.14458252486207437</v>
      </c>
      <c r="H15" s="42">
        <f>IFERROR('Historical FS'!H40,0)</f>
        <v>0.10413871829692715</v>
      </c>
      <c r="I15" s="42">
        <f>IFERROR('Historical FS'!I40,0)</f>
        <v>0.11906691459407301</v>
      </c>
      <c r="J15" s="42">
        <f>IFERROR('Historical FS'!J40,0)</f>
        <v>0.15383213226301479</v>
      </c>
      <c r="K15" s="42">
        <f>IFERROR('Historical FS'!K40,0)</f>
        <v>0.10815994516543274</v>
      </c>
      <c r="L15" s="42">
        <f>IFERROR('Historical FS'!L40,0)</f>
        <v>0.12155479752717127</v>
      </c>
      <c r="M15" s="41"/>
      <c r="N15" s="42">
        <f t="shared" si="2"/>
        <v>0.12471840803597434</v>
      </c>
      <c r="O15" s="42">
        <f t="shared" si="3"/>
        <v>0.12137129280532821</v>
      </c>
    </row>
    <row r="16" spans="2:15" x14ac:dyDescent="0.35">
      <c r="C16" s="36"/>
      <c r="D16" s="36"/>
      <c r="E16" s="36"/>
      <c r="F16" s="36"/>
      <c r="G16" s="36"/>
      <c r="H16" s="36"/>
      <c r="I16" s="36"/>
      <c r="J16" s="36"/>
      <c r="K16" s="36"/>
      <c r="L16" s="36"/>
      <c r="N16" s="36"/>
      <c r="O16" s="36"/>
    </row>
    <row r="17" spans="2:15" x14ac:dyDescent="0.35">
      <c r="B17" s="39" t="s">
        <v>124</v>
      </c>
      <c r="C17" s="40">
        <f>IFERROR('Historical FS'!C15,0)</f>
        <v>0.15506383950593511</v>
      </c>
      <c r="D17" s="40">
        <f>IFERROR('Historical FS'!D15,0)</f>
        <v>0.14421604143944414</v>
      </c>
      <c r="E17" s="40">
        <f>IFERROR('Historical FS'!E15,0)</f>
        <v>0.13354275672773522</v>
      </c>
      <c r="F17" s="40">
        <f>IFERROR('Historical FS'!F15,0)</f>
        <v>0.14306190859051271</v>
      </c>
      <c r="G17" s="40">
        <f>IFERROR('Historical FS'!G15,0)</f>
        <v>0.12997500551518251</v>
      </c>
      <c r="H17" s="40">
        <f>IFERROR('Historical FS'!H15,0)</f>
        <v>0.1273861493377611</v>
      </c>
      <c r="I17" s="40">
        <f>IFERROR('Historical FS'!I15,0)</f>
        <v>0.12937757095897515</v>
      </c>
      <c r="J17" s="40">
        <f>IFERROR('Historical FS'!J15,0)</f>
        <v>0.1380419008681007</v>
      </c>
      <c r="K17" s="40">
        <f>IFERROR('Historical FS'!K15,0)</f>
        <v>0.15213230137068723</v>
      </c>
      <c r="L17" s="40">
        <f>IFERROR('Historical FS'!L15,0)</f>
        <v>0.15159200012140442</v>
      </c>
      <c r="M17" s="39"/>
      <c r="N17" s="40">
        <f>IFERROR(AVERAGE(C17:L17),0)</f>
        <v>0.14043894744357382</v>
      </c>
      <c r="O17" s="40">
        <f>IFERROR(MEDIAN(C17:L17),0)</f>
        <v>0.1405519047293067</v>
      </c>
    </row>
    <row r="18" spans="2:15" x14ac:dyDescent="0.35">
      <c r="B18" t="s">
        <v>125</v>
      </c>
      <c r="C18" s="36">
        <f>IFERROR('Historical FS'!C21,0)</f>
        <v>2.2227474590011016E-2</v>
      </c>
      <c r="D18" s="36">
        <f>IFERROR('Historical FS'!D21,0)</f>
        <v>2.1425238713665449E-2</v>
      </c>
      <c r="E18" s="36">
        <f>IFERROR('Historical FS'!E21,0)</f>
        <v>3.2335540352378074E-2</v>
      </c>
      <c r="F18" s="36">
        <f>IFERROR('Historical FS'!F21,0)</f>
        <v>3.8617106809326486E-2</v>
      </c>
      <c r="G18" s="36">
        <f>IFERROR('Historical FS'!G21,0)</f>
        <v>3.6442576011650275E-2</v>
      </c>
      <c r="H18" s="36">
        <f>IFERROR('Historical FS'!H21,0)</f>
        <v>2.8052374328551871E-2</v>
      </c>
      <c r="I18" s="36">
        <f>IFERROR('Historical FS'!I21,0)</f>
        <v>2.4878372818372688E-2</v>
      </c>
      <c r="J18" s="36">
        <f>IFERROR('Historical FS'!J21,0)</f>
        <v>2.4031736542297968E-2</v>
      </c>
      <c r="K18" s="36">
        <f>IFERROR('Historical FS'!K21,0)</f>
        <v>3.0270497929251843E-2</v>
      </c>
      <c r="L18" s="36">
        <f>IFERROR('Historical FS'!L21,0)</f>
        <v>3.4534225656019608E-2</v>
      </c>
      <c r="N18" s="36">
        <f t="shared" si="2"/>
        <v>2.9281514375152529E-2</v>
      </c>
      <c r="O18" s="36">
        <f t="shared" si="3"/>
        <v>2.9161436128901857E-2</v>
      </c>
    </row>
    <row r="19" spans="2:15" x14ac:dyDescent="0.35">
      <c r="B19" s="41" t="s">
        <v>126</v>
      </c>
      <c r="C19" s="42">
        <f>C13</f>
        <v>0.17653510591893901</v>
      </c>
      <c r="D19" s="42">
        <f t="shared" ref="D19:L19" si="4">D13</f>
        <v>0.16901135543001156</v>
      </c>
      <c r="E19" s="42">
        <f t="shared" si="4"/>
        <v>0.16334608965739844</v>
      </c>
      <c r="F19" s="42">
        <f t="shared" si="4"/>
        <v>0.16729643144288442</v>
      </c>
      <c r="G19" s="42">
        <f t="shared" si="4"/>
        <v>0.18718598577152007</v>
      </c>
      <c r="H19" s="42">
        <f t="shared" si="4"/>
        <v>0.13701287366053996</v>
      </c>
      <c r="I19" s="42">
        <f t="shared" si="4"/>
        <v>0.15662629292760291</v>
      </c>
      <c r="J19" s="42">
        <f t="shared" si="4"/>
        <v>0.18966139480424279</v>
      </c>
      <c r="K19" s="42">
        <f t="shared" si="4"/>
        <v>0.14687447095791203</v>
      </c>
      <c r="L19" s="42">
        <f t="shared" si="4"/>
        <v>0.15374749111527422</v>
      </c>
      <c r="M19" s="41"/>
      <c r="N19" s="42">
        <f t="shared" si="2"/>
        <v>0.16472974916863253</v>
      </c>
      <c r="O19" s="42">
        <f t="shared" si="3"/>
        <v>0.16532126055014143</v>
      </c>
    </row>
    <row r="20" spans="2:15" x14ac:dyDescent="0.35">
      <c r="C20" s="36"/>
      <c r="D20" s="36"/>
      <c r="E20" s="36"/>
      <c r="F20" s="36"/>
      <c r="G20" s="36"/>
      <c r="H20" s="36"/>
      <c r="I20" s="36"/>
      <c r="J20" s="36"/>
      <c r="K20" s="36"/>
      <c r="L20" s="36"/>
      <c r="N20" s="36"/>
      <c r="O20" s="36"/>
    </row>
    <row r="21" spans="2:15" x14ac:dyDescent="0.35">
      <c r="B21" s="39" t="s">
        <v>127</v>
      </c>
      <c r="C21" s="40">
        <f>IFERROR('Historical FS'!C23/(SUM('Historical FS'!C53:C55)),0)</f>
        <v>0.32568533713528403</v>
      </c>
      <c r="D21" s="40">
        <f>IFERROR('Historical FS'!D23/(SUM('Historical FS'!D53:D55)),0)</f>
        <v>0.31793918820706524</v>
      </c>
      <c r="E21" s="40">
        <f>IFERROR('Historical FS'!E23/(SUM('Historical FS'!E53:E55)),0)</f>
        <v>0.29126564505590763</v>
      </c>
      <c r="F21" s="40">
        <f>IFERROR('Historical FS'!F23/(SUM('Historical FS'!F53:F55)),0)</f>
        <v>0.3005931373159112</v>
      </c>
      <c r="G21" s="40">
        <f>IFERROR('Historical FS'!G23/(SUM('Historical FS'!G53:G55)),0)</f>
        <v>0.29241025338485616</v>
      </c>
      <c r="H21" s="40">
        <f>IFERROR('Historical FS'!H23/(SUM('Historical FS'!H53:H55)),0)</f>
        <v>0.2589385678029722</v>
      </c>
      <c r="I21" s="40">
        <f>IFERROR('Historical FS'!I23/(SUM('Historical FS'!I53:I55)),0)</f>
        <v>0.30135928613070662</v>
      </c>
      <c r="J21" s="40">
        <f>IFERROR('Historical FS'!J23/(SUM('Historical FS'!J53:J55)),0)</f>
        <v>0.31750608885291864</v>
      </c>
      <c r="K21" s="40">
        <f>IFERROR('Historical FS'!K23/(SUM('Historical FS'!K53:K55)),0)</f>
        <v>0.22959184143918202</v>
      </c>
      <c r="L21" s="40">
        <f>IFERROR('Historical FS'!L23/(SUM('Historical FS'!L53:L55)),0)</f>
        <v>0.2162358718318835</v>
      </c>
      <c r="M21" s="39"/>
      <c r="N21" s="40">
        <f t="shared" si="2"/>
        <v>0.28515252171566874</v>
      </c>
      <c r="O21" s="40">
        <f t="shared" si="3"/>
        <v>0.29650169535038368</v>
      </c>
    </row>
    <row r="22" spans="2:15" x14ac:dyDescent="0.35">
      <c r="B22" t="s">
        <v>128</v>
      </c>
      <c r="C22" s="36">
        <f>IFERROR('Historical FS'!C50,0)</f>
        <v>0.49058228448564778</v>
      </c>
      <c r="D22" s="36">
        <f>IFERROR('Historical FS'!D50,0)</f>
        <v>0.59071669944529726</v>
      </c>
      <c r="E22" s="36">
        <f>IFERROR('Historical FS'!E50,0)</f>
        <v>0.53283980852721813</v>
      </c>
      <c r="F22" s="36">
        <f>IFERROR('Historical FS'!F50,0)</f>
        <v>0.57450363563103246</v>
      </c>
      <c r="G22" s="36">
        <f>IFERROR('Historical FS'!G50,0)</f>
        <v>0.45459960691748769</v>
      </c>
      <c r="H22" s="36">
        <f>IFERROR('Historical FS'!H50,0)</f>
        <v>0.3938862986170919</v>
      </c>
      <c r="I22" s="36">
        <f>IFERROR('Historical FS'!I50,0)</f>
        <v>0.40085718808216342</v>
      </c>
      <c r="J22" s="36">
        <f>IFERROR('Historical FS'!J50,0)</f>
        <v>0.41501731612038317</v>
      </c>
      <c r="K22" s="36">
        <f>IFERROR('Historical FS'!K50,0)</f>
        <v>0.35133056830359699</v>
      </c>
      <c r="L22" s="36">
        <f>IFERROR('Historical FS'!L50,0)</f>
        <v>0.39015339799091409</v>
      </c>
      <c r="N22" s="36">
        <f t="shared" si="2"/>
        <v>0.45944868041208331</v>
      </c>
      <c r="O22" s="36">
        <f t="shared" si="3"/>
        <v>0.43480846151893543</v>
      </c>
    </row>
    <row r="23" spans="2:15" x14ac:dyDescent="0.35">
      <c r="B23" t="s">
        <v>129</v>
      </c>
      <c r="C23" s="36">
        <f>IFERROR('Historical FS'!C39/('Historical FS'!C53+'Historical FS'!C54),0)</f>
        <v>0.25505760867135113</v>
      </c>
      <c r="D23" s="36">
        <f>IFERROR('Historical FS'!D39/('Historical FS'!D53+'Historical FS'!D54),0)</f>
        <v>0.24243451130349589</v>
      </c>
      <c r="E23" s="36">
        <f>IFERROR('Historical FS'!E39/('Historical FS'!E53+'Historical FS'!E54),0)</f>
        <v>0.22764464577030905</v>
      </c>
      <c r="F23" s="36">
        <f>IFERROR('Historical FS'!F39/('Historical FS'!F53+'Historical FS'!F54),0)</f>
        <v>0.26704119184692049</v>
      </c>
      <c r="G23" s="36">
        <f>IFERROR('Historical FS'!G39/('Historical FS'!G53+'Historical FS'!G54),0)</f>
        <v>0.24513656960759125</v>
      </c>
      <c r="H23" s="36">
        <f>IFERROR('Historical FS'!H39/('Historical FS'!H53+'Historical FS'!H54),0)</f>
        <v>0.21942271546443706</v>
      </c>
      <c r="I23" s="36">
        <f>IFERROR('Historical FS'!I39/('Historical FS'!I53+'Historical FS'!I54),0)</f>
        <v>0.25677782273016331</v>
      </c>
      <c r="J23" s="36">
        <f>IFERROR('Historical FS'!J39/('Historical FS'!J53+'Historical FS'!J54),0)</f>
        <v>0.29154968683756666</v>
      </c>
      <c r="K23" s="36">
        <f>IFERROR('Historical FS'!K39/('Historical FS'!K53+'Historical FS'!K54),0)</f>
        <v>0.18903432559391048</v>
      </c>
      <c r="L23" s="36">
        <f>IFERROR('Historical FS'!L39/('Historical FS'!L53+'Historical FS'!L54),0)</f>
        <v>0.2023878429260528</v>
      </c>
      <c r="N23" s="36">
        <f t="shared" si="2"/>
        <v>0.23964869207517983</v>
      </c>
      <c r="O23" s="36">
        <f t="shared" si="3"/>
        <v>0.24378554045554357</v>
      </c>
    </row>
    <row r="24" spans="2:15" x14ac:dyDescent="0.35">
      <c r="B24" t="s">
        <v>137</v>
      </c>
      <c r="C24" s="36">
        <f>IFERROR(C22*C23,0)</f>
        <v>0.12512674433743781</v>
      </c>
      <c r="D24" s="36">
        <f t="shared" ref="D24:L24" si="5">IFERROR(D22*D23,0)</f>
        <v>0.14321011434883471</v>
      </c>
      <c r="E24" s="36">
        <f t="shared" si="5"/>
        <v>0.12129812946449786</v>
      </c>
      <c r="F24" s="36">
        <f t="shared" si="5"/>
        <v>0.15341613557929984</v>
      </c>
      <c r="G24" s="36">
        <f t="shared" si="5"/>
        <v>0.11143898818471235</v>
      </c>
      <c r="H24" s="36">
        <f t="shared" si="5"/>
        <v>8.6427601226798448E-2</v>
      </c>
      <c r="I24" s="36">
        <f t="shared" si="5"/>
        <v>0.1029312359814735</v>
      </c>
      <c r="J24" s="36">
        <f t="shared" si="5"/>
        <v>0.12099816854706512</v>
      </c>
      <c r="K24" s="36">
        <f t="shared" si="5"/>
        <v>6.6413537039795759E-2</v>
      </c>
      <c r="L24" s="36">
        <f t="shared" si="5"/>
        <v>7.8962304629650884E-2</v>
      </c>
      <c r="N24" s="36">
        <f>IFERROR(AVERAGE(C24:L24),0)</f>
        <v>0.11102229593395663</v>
      </c>
      <c r="O24" s="36">
        <f t="shared" si="3"/>
        <v>0.11621857836588873</v>
      </c>
    </row>
    <row r="25" spans="2:15" x14ac:dyDescent="0.35">
      <c r="B25" s="41" t="s">
        <v>130</v>
      </c>
      <c r="C25" s="43">
        <f>IFERROR('Historical FS'!C23/'Historical FS'!C29,0)</f>
        <v>71.228770425930904</v>
      </c>
      <c r="D25" s="43">
        <f>IFERROR('Historical FS'!D23/'Historical FS'!D29,0)</f>
        <v>68.568603809983145</v>
      </c>
      <c r="E25" s="43">
        <f>IFERROR('Historical FS'!E23/'Historical FS'!E29,0)</f>
        <v>28.449352765456698</v>
      </c>
      <c r="F25" s="43">
        <f>IFERROR('Historical FS'!F23/'Historical FS'!F29,0)</f>
        <v>33.04280269715624</v>
      </c>
      <c r="G25" s="43">
        <f>IFERROR('Historical FS'!G23/'Historical FS'!G29,0)</f>
        <v>44.355887809669362</v>
      </c>
      <c r="H25" s="43">
        <f>IFERROR('Historical FS'!H23/'Historical FS'!H29,0)</f>
        <v>41.790692799496895</v>
      </c>
      <c r="I25" s="43">
        <f>IFERROR('Historical FS'!I23/'Historical FS'!I29,0)</f>
        <v>37.39577708549669</v>
      </c>
      <c r="J25" s="43">
        <f>IFERROR('Historical FS'!J23/'Historical FS'!J29,0)</f>
        <v>32.811717112638306</v>
      </c>
      <c r="K25" s="43">
        <f>IFERROR('Historical FS'!K23/'Historical FS'!K29,0)</f>
        <v>21.935820632543393</v>
      </c>
      <c r="L25" s="43">
        <f>IFERROR('Historical FS'!L23/'Historical FS'!L29,0)</f>
        <v>27.996929532777262</v>
      </c>
      <c r="M25" s="41"/>
      <c r="N25" s="43">
        <f>IFERROR(AVERAGE(C25:L25),0)</f>
        <v>40.757635467114888</v>
      </c>
      <c r="O25" s="43">
        <f t="shared" si="3"/>
        <v>35.219289891326468</v>
      </c>
    </row>
    <row r="26" spans="2:15" x14ac:dyDescent="0.35">
      <c r="C26" s="36"/>
      <c r="D26" s="36"/>
      <c r="E26" s="36"/>
      <c r="F26" s="36"/>
      <c r="G26" s="36"/>
      <c r="H26" s="36"/>
      <c r="I26" s="36"/>
      <c r="J26" s="36"/>
      <c r="K26" s="36"/>
      <c r="L26" s="36"/>
      <c r="N26" s="45"/>
      <c r="O26" s="45"/>
    </row>
    <row r="27" spans="2:15" x14ac:dyDescent="0.35">
      <c r="B27" s="39" t="s">
        <v>131</v>
      </c>
      <c r="C27" s="44">
        <f>IFERROR('Historical FS'!C5/'Historical FS'!C65,0)</f>
        <v>10.41199364025992</v>
      </c>
      <c r="D27" s="44">
        <f>IFERROR('Historical FS'!D5/'Historical FS'!D65,0)</f>
        <v>9.7216331624899599</v>
      </c>
      <c r="E27" s="44">
        <f>IFERROR('Historical FS'!E5/'Historical FS'!E65,0)</f>
        <v>10.08746782150965</v>
      </c>
      <c r="F27" s="44">
        <f>IFERROR('Historical FS'!F5/'Historical FS'!F65,0)</f>
        <v>11.258369447755706</v>
      </c>
      <c r="G27" s="44">
        <f>IFERROR('Historical FS'!G5/'Historical FS'!G65,0)</f>
        <v>8.3441089552181449</v>
      </c>
      <c r="H27" s="44">
        <f>IFERROR('Historical FS'!H5/'Historical FS'!H65,0)</f>
        <v>7.5169136032070751</v>
      </c>
      <c r="I27" s="44">
        <f>IFERROR('Historical FS'!I5/'Historical FS'!I65,0)</f>
        <v>7.4377908707035241</v>
      </c>
      <c r="J27" s="44">
        <f>IFERROR('Historical FS'!J5/'Historical FS'!J65,0)</f>
        <v>7.2600464302880932</v>
      </c>
      <c r="K27" s="44">
        <f>IFERROR('Historical FS'!K5/'Historical FS'!K65,0)</f>
        <v>7.8600767331610131</v>
      </c>
      <c r="L27" s="44">
        <f>IFERROR('Historical FS'!L5/'Historical FS'!L65,0)</f>
        <v>7.9751535254829884</v>
      </c>
      <c r="M27" s="39"/>
      <c r="N27" s="44">
        <f t="shared" ref="N27:N31" si="6">IFERROR(AVERAGE(C27:L27),0)</f>
        <v>8.7873554190076071</v>
      </c>
      <c r="O27" s="44">
        <f t="shared" si="3"/>
        <v>8.1596312403505671</v>
      </c>
    </row>
    <row r="28" spans="2:15" x14ac:dyDescent="0.35">
      <c r="B28" t="s">
        <v>132</v>
      </c>
      <c r="C28" s="44">
        <f>IFERROR('Data Sheet'!B18/'Historical FS'!C113,0)</f>
        <v>3.8755070202808115</v>
      </c>
      <c r="D28" s="44">
        <f>IFERROR('Data Sheet'!C18/'Historical FS'!D113,0)</f>
        <v>3.7630416666666666</v>
      </c>
      <c r="E28" s="44">
        <f>IFERROR('Data Sheet'!D18/'Historical FS'!E113,0)</f>
        <v>4.1664160401002501</v>
      </c>
      <c r="F28" s="44">
        <f>IFERROR('Data Sheet'!E18/'Historical FS'!F113,0)</f>
        <v>4.6710294805802528</v>
      </c>
      <c r="G28" s="44">
        <f>IFERROR('Data Sheet'!F18/'Historical FS'!G113,0)</f>
        <v>3.0853950873039357</v>
      </c>
      <c r="H28" s="44">
        <f>IFERROR('Data Sheet'!G18/'Historical FS'!H113,0)</f>
        <v>4.1122118155619596</v>
      </c>
      <c r="I28" s="44">
        <f>IFERROR('Data Sheet'!H18/'Historical FS'!I113,0)</f>
        <v>5.2229793672627229</v>
      </c>
      <c r="J28" s="44">
        <f>IFERROR('Data Sheet'!I18/'Historical FS'!J113,0)</f>
        <v>4.5447246149830329</v>
      </c>
      <c r="K28" s="44">
        <f>IFERROR('Data Sheet'!J18/'Historical FS'!K113,0)</f>
        <v>4.5489890852390849</v>
      </c>
      <c r="L28" s="44">
        <f>IFERROR('Data Sheet'!K18/'Historical FS'!L113,0)</f>
        <v>4.4374864095262749</v>
      </c>
      <c r="N28" s="44">
        <f t="shared" ref="N28" si="7">IFERROR(AVERAGE(C28:L28),0)</f>
        <v>4.2427780587504991</v>
      </c>
      <c r="O28" s="44">
        <f t="shared" ref="O28" si="8">IFERROR(MEDIAN(C28:L28),0)</f>
        <v>4.3019512248132621</v>
      </c>
    </row>
    <row r="29" spans="2:15" x14ac:dyDescent="0.35">
      <c r="B29" t="s">
        <v>133</v>
      </c>
      <c r="C29" s="45">
        <f>IFERROR('Historical FS'!C8/'Historical FS'!C66,0)</f>
        <v>3.7049418715311351</v>
      </c>
      <c r="D29" s="45">
        <f>IFERROR('Historical FS'!D8/'Historical FS'!D66,0)</f>
        <v>4.2110100025956338</v>
      </c>
      <c r="E29" s="45">
        <f>IFERROR('Historical FS'!E8/'Historical FS'!E66,0)</f>
        <v>4.0972646403332211</v>
      </c>
      <c r="F29" s="45">
        <f>IFERROR('Historical FS'!F8/'Historical FS'!F66,0)</f>
        <v>3.8816393839182735</v>
      </c>
      <c r="G29" s="45">
        <f>IFERROR('Historical FS'!G8/'Historical FS'!G66,0)</f>
        <v>3.6948007160532823</v>
      </c>
      <c r="H29" s="45">
        <f>IFERROR('Historical FS'!H8/'Historical FS'!H66,0)</f>
        <v>3.3464386362380507</v>
      </c>
      <c r="I29" s="45">
        <f>IFERROR('Historical FS'!I8/'Historical FS'!I66,0)</f>
        <v>3.8267714760475569</v>
      </c>
      <c r="J29" s="45">
        <f>IFERROR('Historical FS'!J8/'Historical FS'!J66,0)</f>
        <v>3.8845850616452351</v>
      </c>
      <c r="K29" s="45">
        <f>IFERROR('Historical FS'!K8/'Historical FS'!K66,0)</f>
        <v>3.3844852193765096</v>
      </c>
      <c r="L29" s="45">
        <f>IFERROR('Historical FS'!L8/'Historical FS'!L66,0)</f>
        <v>4.0896409799275375</v>
      </c>
      <c r="N29" s="45">
        <f t="shared" si="6"/>
        <v>3.812157798766644</v>
      </c>
      <c r="O29" s="45">
        <f t="shared" si="3"/>
        <v>3.8542054299829154</v>
      </c>
    </row>
    <row r="30" spans="2:15" x14ac:dyDescent="0.35">
      <c r="B30" t="s">
        <v>134</v>
      </c>
      <c r="C30" s="45">
        <f>IFERROR('Historical FS'!C5/'Historical FS'!C59,0)</f>
        <v>4.5590724451682032</v>
      </c>
      <c r="D30" s="45">
        <f>IFERROR('Historical FS'!D5/'Historical FS'!D59,0)</f>
        <v>4.50789606241828</v>
      </c>
      <c r="E30" s="45">
        <f>IFERROR('Historical FS'!E5/'Historical FS'!E59,0)</f>
        <v>2.9615873631583485</v>
      </c>
      <c r="F30" s="45">
        <f>IFERROR('Historical FS'!F5/'Historical FS'!F59,0)</f>
        <v>3.2222976861794139</v>
      </c>
      <c r="G30" s="45">
        <f>IFERROR('Historical FS'!G5/'Historical FS'!G59,0)</f>
        <v>3.7061903006220001</v>
      </c>
      <c r="H30" s="45">
        <f>IFERROR('Historical FS'!H5/'Historical FS'!H59,0)</f>
        <v>5.2728689305787571</v>
      </c>
      <c r="I30" s="45">
        <f>IFERROR('Historical FS'!I5/'Historical FS'!I59,0)</f>
        <v>5.9767488207179316</v>
      </c>
      <c r="J30" s="45">
        <f>IFERROR('Historical FS'!J5/'Historical FS'!J59,0)</f>
        <v>4.9666457710078333</v>
      </c>
      <c r="K30" s="45">
        <f>IFERROR('Historical FS'!K5/'Historical FS'!K59,0)</f>
        <v>3.6773592477305019</v>
      </c>
      <c r="L30" s="45">
        <f>IFERROR('Historical FS'!L5/'Historical FS'!L59,0)</f>
        <v>3.6911313779267823</v>
      </c>
      <c r="N30" s="45">
        <f t="shared" si="6"/>
        <v>4.2541798005508049</v>
      </c>
      <c r="O30" s="45">
        <f t="shared" si="3"/>
        <v>4.1070431815201403</v>
      </c>
    </row>
    <row r="31" spans="2:15" x14ac:dyDescent="0.35">
      <c r="B31" s="41" t="s">
        <v>135</v>
      </c>
      <c r="C31" s="43">
        <f>IFERROR('Historical FS'!C5/SUM('Historical FS'!C53:C55),0)</f>
        <v>1.8448757568074392</v>
      </c>
      <c r="D31" s="43">
        <f>IFERROR('Historical FS'!D5/SUM('Historical FS'!D53:D55),0)</f>
        <v>1.8811705722265828</v>
      </c>
      <c r="E31" s="43">
        <f>IFERROR('Historical FS'!E5/SUM('Historical FS'!E53:E55),0)</f>
        <v>1.7831197898082976</v>
      </c>
      <c r="F31" s="43">
        <f>IFERROR('Historical FS'!F5/SUM('Historical FS'!F53:F55),0)</f>
        <v>1.7967695707755413</v>
      </c>
      <c r="G31" s="43">
        <f>IFERROR('Historical FS'!G5/SUM('Historical FS'!G53:G55),0)</f>
        <v>1.5621375295785938</v>
      </c>
      <c r="H31" s="43">
        <f>IFERROR('Historical FS'!H5/SUM('Historical FS'!H53:H55),0)</f>
        <v>1.8898849493844831</v>
      </c>
      <c r="I31" s="43">
        <f>IFERROR('Historical FS'!I5/SUM('Historical FS'!I53:I55),0)</f>
        <v>1.9240657522936035</v>
      </c>
      <c r="J31" s="43">
        <f>IFERROR('Historical FS'!J5/SUM('Historical FS'!J53:J55),0)</f>
        <v>1.6740680895056663</v>
      </c>
      <c r="K31" s="43">
        <f>IFERROR('Historical FS'!K5/SUM('Historical FS'!K53:K55),0)</f>
        <v>1.5631841254766001</v>
      </c>
      <c r="L31" s="43">
        <f>IFERROR('Historical FS'!L5/SUM('Historical FS'!L53:L55),0)</f>
        <v>1.4064351246535647</v>
      </c>
      <c r="M31" s="41"/>
      <c r="N31" s="43">
        <f t="shared" si="6"/>
        <v>1.7325711260510375</v>
      </c>
      <c r="O31" s="43">
        <f t="shared" si="3"/>
        <v>1.7899446802919194</v>
      </c>
    </row>
    <row r="32" spans="2:15" x14ac:dyDescent="0.35">
      <c r="C32" s="36"/>
      <c r="N32" s="45"/>
    </row>
    <row r="33" spans="2:15" x14ac:dyDescent="0.35">
      <c r="B33" s="37" t="s">
        <v>145</v>
      </c>
      <c r="N33" s="45"/>
      <c r="O33" s="45"/>
    </row>
    <row r="34" spans="2:15" x14ac:dyDescent="0.35">
      <c r="B34" s="39" t="s">
        <v>141</v>
      </c>
      <c r="C34" s="46">
        <f t="shared" ref="C34:L35" si="9">IFERROR(365/C27,0)</f>
        <v>35.055726368162503</v>
      </c>
      <c r="D34" s="46">
        <f t="shared" si="9"/>
        <v>37.545131964896534</v>
      </c>
      <c r="E34" s="46">
        <f t="shared" si="9"/>
        <v>36.183510714324697</v>
      </c>
      <c r="F34" s="46">
        <f t="shared" si="9"/>
        <v>32.420325313872226</v>
      </c>
      <c r="G34" s="46">
        <f t="shared" si="9"/>
        <v>43.743436472235949</v>
      </c>
      <c r="H34" s="46">
        <f t="shared" si="9"/>
        <v>48.557163121347244</v>
      </c>
      <c r="I34" s="46">
        <f t="shared" si="9"/>
        <v>49.073711044725229</v>
      </c>
      <c r="J34" s="46">
        <f t="shared" si="9"/>
        <v>50.275160566089667</v>
      </c>
      <c r="K34" s="46">
        <f t="shared" si="9"/>
        <v>46.437205690384069</v>
      </c>
      <c r="L34" s="46">
        <f t="shared" si="9"/>
        <v>45.767144022208022</v>
      </c>
      <c r="M34" s="39"/>
      <c r="N34" s="46">
        <f>IFERROR(AVERAGE(C34:L34),0)</f>
        <v>42.505851527824618</v>
      </c>
      <c r="O34" s="46">
        <f>IFERROR(MEDIAN(C34:L34),0)</f>
        <v>44.755290247221986</v>
      </c>
    </row>
    <row r="35" spans="2:15" x14ac:dyDescent="0.35">
      <c r="B35" t="s">
        <v>138</v>
      </c>
      <c r="C35" s="47">
        <f t="shared" si="9"/>
        <v>94.181225344175175</v>
      </c>
      <c r="D35" s="47">
        <f t="shared" si="9"/>
        <v>96.996002790295975</v>
      </c>
      <c r="E35" s="47">
        <f t="shared" si="9"/>
        <v>87.605269489894141</v>
      </c>
      <c r="F35" s="47">
        <f t="shared" si="9"/>
        <v>78.141232359479417</v>
      </c>
      <c r="G35" s="47">
        <f t="shared" si="9"/>
        <v>118.29927437880977</v>
      </c>
      <c r="H35" s="47">
        <f t="shared" si="9"/>
        <v>88.760019272042399</v>
      </c>
      <c r="I35" s="47">
        <f t="shared" si="9"/>
        <v>69.883484948800486</v>
      </c>
      <c r="J35" s="47">
        <f t="shared" si="9"/>
        <v>80.312897022774322</v>
      </c>
      <c r="K35" s="47">
        <f t="shared" si="9"/>
        <v>80.23760733662354</v>
      </c>
      <c r="L35" s="47">
        <f t="shared" si="9"/>
        <v>82.253773040617759</v>
      </c>
      <c r="N35" s="47">
        <f>IFERROR(AVERAGE(C35:L35),0)</f>
        <v>87.66707859835131</v>
      </c>
      <c r="O35" s="47">
        <f>IFERROR(MEDIAN(C35:L35),0)</f>
        <v>84.929521265255943</v>
      </c>
    </row>
    <row r="36" spans="2:15" x14ac:dyDescent="0.35">
      <c r="B36" t="s">
        <v>139</v>
      </c>
      <c r="C36" s="47">
        <f t="shared" ref="C36:L36" si="10">IFERROR(365/C29,0)</f>
        <v>98.517065221635193</v>
      </c>
      <c r="D36" s="47">
        <f t="shared" si="10"/>
        <v>86.677542863830013</v>
      </c>
      <c r="E36" s="47">
        <f t="shared" si="10"/>
        <v>89.083823487251095</v>
      </c>
      <c r="F36" s="47">
        <f t="shared" si="10"/>
        <v>94.032434211226288</v>
      </c>
      <c r="G36" s="47">
        <f t="shared" si="10"/>
        <v>98.787465969175798</v>
      </c>
      <c r="H36" s="47">
        <f t="shared" si="10"/>
        <v>109.07117675712716</v>
      </c>
      <c r="I36" s="47">
        <f t="shared" si="10"/>
        <v>95.380662860220397</v>
      </c>
      <c r="J36" s="47">
        <f t="shared" si="10"/>
        <v>93.961129492016283</v>
      </c>
      <c r="K36" s="47">
        <f t="shared" si="10"/>
        <v>107.84505658654948</v>
      </c>
      <c r="L36" s="47">
        <f t="shared" si="10"/>
        <v>89.249888142129109</v>
      </c>
      <c r="N36" s="47">
        <f t="shared" ref="N36" si="11">IFERROR(AVERAGE(C36:L36),0)</f>
        <v>96.260624559116081</v>
      </c>
      <c r="O36" s="47">
        <f t="shared" ref="O36" si="12">IFERROR(MEDIAN(C36:L36),0)</f>
        <v>94.706548535723343</v>
      </c>
    </row>
    <row r="37" spans="2:15" x14ac:dyDescent="0.35">
      <c r="B37" s="41" t="s">
        <v>140</v>
      </c>
      <c r="C37" s="48">
        <f>IFERROR(C34+C36-C35,0)</f>
        <v>39.391566245622528</v>
      </c>
      <c r="D37" s="48">
        <f t="shared" ref="D37:L37" si="13">IFERROR(D34+D36-D35,0)</f>
        <v>27.226672038430578</v>
      </c>
      <c r="E37" s="48">
        <f t="shared" si="13"/>
        <v>37.662064711681651</v>
      </c>
      <c r="F37" s="48">
        <f t="shared" si="13"/>
        <v>48.311527165619097</v>
      </c>
      <c r="G37" s="48">
        <f t="shared" si="13"/>
        <v>24.23162806260197</v>
      </c>
      <c r="H37" s="48">
        <f t="shared" si="13"/>
        <v>68.868320606432007</v>
      </c>
      <c r="I37" s="48">
        <f t="shared" si="13"/>
        <v>74.570888956145126</v>
      </c>
      <c r="J37" s="48">
        <f t="shared" si="13"/>
        <v>63.923393035331642</v>
      </c>
      <c r="K37" s="48">
        <f t="shared" si="13"/>
        <v>74.044654940310011</v>
      </c>
      <c r="L37" s="48">
        <f t="shared" si="13"/>
        <v>52.763259123719379</v>
      </c>
      <c r="M37" s="41"/>
      <c r="N37" s="48">
        <f t="shared" ref="N37" si="14">IFERROR(AVERAGE(C37:L37),0)</f>
        <v>51.099397488589396</v>
      </c>
      <c r="O37" s="48">
        <f t="shared" ref="O37" si="15">IFERROR(MEDIAN(C37:L37),0)</f>
        <v>50.537393144669238</v>
      </c>
    </row>
    <row r="39" spans="2:15" x14ac:dyDescent="0.35">
      <c r="B39" s="39" t="s">
        <v>142</v>
      </c>
      <c r="C39" s="40">
        <f>IFERROR('Historical FS'!C83/'Historical FS'!C5,0)</f>
        <v>0.101447418302628</v>
      </c>
      <c r="D39" s="40">
        <f>IFERROR('Historical FS'!D83/'Historical FS'!D5,0)</f>
        <v>0.12559028324680305</v>
      </c>
      <c r="E39" s="40">
        <f>IFERROR('Historical FS'!E83/'Historical FS'!E5,0)</f>
        <v>0.12832553626196913</v>
      </c>
      <c r="F39" s="40">
        <f>IFERROR('Historical FS'!F83/'Historical FS'!F5,0)</f>
        <v>0.15026284866101799</v>
      </c>
      <c r="G39" s="40">
        <f>IFERROR('Historical FS'!G83/'Historical FS'!G5,0)</f>
        <v>0.16962352604156353</v>
      </c>
      <c r="H39" s="40">
        <f>IFERROR('Historical FS'!H83/'Historical FS'!H5,0)</f>
        <v>3.3916033933902565E-2</v>
      </c>
      <c r="I39" s="40">
        <f>IFERROR('Historical FS'!I83/'Historical FS'!I5,0)</f>
        <v>0.12160543530483561</v>
      </c>
      <c r="J39" s="40">
        <f>IFERROR('Historical FS'!J83/'Historical FS'!J5,0)</f>
        <v>0.171969190919328</v>
      </c>
      <c r="K39" s="40">
        <f>IFERROR('Historical FS'!K83/'Historical FS'!K5,0)</f>
        <v>0.13050933739008458</v>
      </c>
      <c r="L39" s="40">
        <f>IFERROR('Historical FS'!L83/'Historical FS'!L5,0)</f>
        <v>0.19919322248432841</v>
      </c>
      <c r="M39" s="39"/>
      <c r="N39" s="40">
        <f>IFERROR(AVERAGE(C39:L39),0)</f>
        <v>0.13324428325464607</v>
      </c>
      <c r="O39" s="40">
        <f>IFERROR(MEDIAN(C39:L39),0)</f>
        <v>0.12941743682602685</v>
      </c>
    </row>
    <row r="40" spans="2:15" x14ac:dyDescent="0.35">
      <c r="B40" t="s">
        <v>143</v>
      </c>
      <c r="C40" s="36">
        <f>IFERROR('Historical FS'!C83/'Historical FS'!C70,0)</f>
        <v>0.12317425206707838</v>
      </c>
      <c r="D40" s="36">
        <f>IFERROR('Historical FS'!D83/'Historical FS'!D70,0)</f>
        <v>0.15352221967118782</v>
      </c>
      <c r="E40" s="36">
        <f>IFERROR('Historical FS'!E83/'Historical FS'!E70,0)</f>
        <v>0.15194930838139831</v>
      </c>
      <c r="F40" s="36">
        <f>IFERROR('Historical FS'!F83/'Historical FS'!F70,0)</f>
        <v>0.1881897165504707</v>
      </c>
      <c r="G40" s="36">
        <f>IFERROR('Historical FS'!G83/'Historical FS'!G70,0)</f>
        <v>0.18093532213168634</v>
      </c>
      <c r="H40" s="36">
        <f>IFERROR('Historical FS'!H83/'Historical FS'!H70,0)</f>
        <v>4.2990744576175285E-2</v>
      </c>
      <c r="I40" s="36">
        <f>IFERROR('Historical FS'!I83/'Historical FS'!I70,0)</f>
        <v>0.16268847949112719</v>
      </c>
      <c r="J40" s="36">
        <f>IFERROR('Historical FS'!J83/'Historical FS'!J70,0)</f>
        <v>0.20414190002464816</v>
      </c>
      <c r="K40" s="36">
        <f>IFERROR('Historical FS'!K83/'Historical FS'!K70,0)</f>
        <v>0.1457737953072368</v>
      </c>
      <c r="L40" s="36">
        <f>IFERROR('Historical FS'!L83/'Historical FS'!L70,0)</f>
        <v>0.20533767879775483</v>
      </c>
      <c r="N40" s="36">
        <f t="shared" ref="N40:N41" si="16">IFERROR(AVERAGE(C40:L40),0)</f>
        <v>0.1558703416998764</v>
      </c>
      <c r="O40" s="36">
        <f t="shared" ref="O40:O41" si="17">IFERROR(MEDIAN(C40:L40),0)</f>
        <v>0.15810534958115752</v>
      </c>
    </row>
    <row r="41" spans="2:15" x14ac:dyDescent="0.35">
      <c r="B41" s="41" t="s">
        <v>144</v>
      </c>
      <c r="C41" s="42">
        <f>IFERROR('Historical FS'!C83/'Historical FS'!C55,0)</f>
        <v>2.7269158011207479</v>
      </c>
      <c r="D41" s="42">
        <f>IFERROR('Historical FS'!D83/'Historical FS'!D55,0)</f>
        <v>3.9611570402864484</v>
      </c>
      <c r="E41" s="42">
        <f>IFERROR('Historical FS'!E83/'Historical FS'!E55,0)</f>
        <v>1.8710215216732344</v>
      </c>
      <c r="F41" s="42">
        <f>IFERROR('Historical FS'!F83/'Historical FS'!F55,0)</f>
        <v>2.7152436298614218</v>
      </c>
      <c r="G41" s="42">
        <f>IFERROR('Historical FS'!G83/'Historical FS'!G55,0)</f>
        <v>3.3692549765807964</v>
      </c>
      <c r="H41" s="42">
        <f>IFERROR('Historical FS'!H83/'Historical FS'!H55,0)</f>
        <v>0.62197519661222012</v>
      </c>
      <c r="I41" s="42">
        <f>IFERROR('Historical FS'!I83/'Historical FS'!I55,0)</f>
        <v>2.1701110409702893</v>
      </c>
      <c r="J41" s="42">
        <f>IFERROR('Historical FS'!J83/'Historical FS'!J55,0)</f>
        <v>2.4668805923099928</v>
      </c>
      <c r="K41" s="42">
        <f>IFERROR('Historical FS'!K83/'Historical FS'!K55,0)</f>
        <v>1.9320697378934546</v>
      </c>
      <c r="L41" s="42">
        <f>IFERROR('Historical FS'!L83/'Historical FS'!L55,0)</f>
        <v>1.8040535209331803</v>
      </c>
      <c r="M41" s="41"/>
      <c r="N41" s="42">
        <f t="shared" si="16"/>
        <v>2.3638683058241785</v>
      </c>
      <c r="O41" s="42">
        <f t="shared" si="17"/>
        <v>2.3184958166401408</v>
      </c>
    </row>
  </sheetData>
  <mergeCells count="1">
    <mergeCell ref="B2:O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CFDD5C3A-5D75-4514-B385-2A04DAA47C7C}">
          <x14:colorSeries theme="4" tint="0.39997558519241921"/>
          <x14:colorNegative rgb="FFD00000"/>
          <x14:colorAxis rgb="FF000000"/>
          <x14:colorMarkers theme="1"/>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s>
        </x14:sparklineGroup>
        <x14:sparklineGroup displayEmptyCellsAs="gap" markers="1" xr2:uid="{39A2C970-FA75-4E8A-A98E-28114E11930A}">
          <x14:colorSeries theme="4" tint="0.39997558519241921"/>
          <x14:colorNegative rgb="FFD00000"/>
          <x14:colorAxis rgb="FF000000"/>
          <x14:colorMarkers theme="1"/>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0B76-6F6E-4F4D-B709-26C926C3513A}">
  <dimension ref="B2:AD44"/>
  <sheetViews>
    <sheetView showGridLines="0" topLeftCell="A16" zoomScale="80" zoomScaleNormal="100" workbookViewId="0">
      <selection activeCell="F38" sqref="F38:H38"/>
    </sheetView>
  </sheetViews>
  <sheetFormatPr defaultColWidth="8.6328125" defaultRowHeight="14.5" x14ac:dyDescent="0.35"/>
  <cols>
    <col min="1" max="1" width="1.81640625" style="51" customWidth="1"/>
    <col min="2" max="2" width="14.08984375" style="51" customWidth="1"/>
    <col min="3" max="4" width="10.6328125" style="51" customWidth="1"/>
    <col min="5" max="5" width="10.6328125" style="53" customWidth="1"/>
    <col min="6" max="6" width="10.7265625" style="52" customWidth="1"/>
    <col min="7" max="7" width="10.54296875" style="51" customWidth="1"/>
    <col min="8" max="8" width="10.6328125" style="51" customWidth="1"/>
    <col min="9" max="10" width="8.81640625" style="51" bestFit="1" customWidth="1"/>
    <col min="11" max="11" width="8.6328125" style="51" customWidth="1"/>
    <col min="12" max="13" width="10.08984375" style="51" customWidth="1"/>
    <col min="14" max="14" width="10.7265625" style="51" customWidth="1"/>
    <col min="15" max="15" width="10.453125" style="51" customWidth="1"/>
    <col min="16" max="16" width="10" style="51" customWidth="1"/>
    <col min="17" max="17" width="10.26953125" style="51" customWidth="1"/>
    <col min="18" max="18" width="9.6328125" style="51" bestFit="1" customWidth="1"/>
    <col min="19" max="16384" width="8.6328125" style="51"/>
  </cols>
  <sheetData>
    <row r="2" spans="2:30" ht="14.25" customHeight="1" x14ac:dyDescent="0.35">
      <c r="B2" s="135" t="str">
        <f>'Data Sheet'!$B$1&amp; " - " &amp;'Data Sheet'!A17&amp; " Forecast 3 Methods"</f>
        <v>ASIAN PAINTS LTD - Sales Forecast 3 Methods</v>
      </c>
      <c r="C2" s="135"/>
      <c r="D2" s="135"/>
      <c r="E2" s="135"/>
      <c r="F2" s="135"/>
      <c r="G2" s="135"/>
      <c r="H2" s="135"/>
      <c r="I2" s="135"/>
      <c r="J2" s="135"/>
      <c r="K2" s="135"/>
      <c r="L2" s="135"/>
      <c r="M2" s="135"/>
      <c r="N2" s="135"/>
      <c r="O2" s="135"/>
      <c r="P2" s="135"/>
      <c r="Q2" s="135"/>
      <c r="R2" s="135"/>
    </row>
    <row r="3" spans="2:30" ht="14.25" customHeight="1" x14ac:dyDescent="0.35">
      <c r="B3" s="59"/>
      <c r="C3" s="59"/>
      <c r="D3" s="59"/>
      <c r="E3" s="59"/>
    </row>
    <row r="4" spans="2:30" ht="14.25" customHeight="1" x14ac:dyDescent="0.35">
      <c r="B4" s="52" t="s">
        <v>149</v>
      </c>
      <c r="C4" s="58">
        <v>1</v>
      </c>
      <c r="D4" s="58">
        <f t="shared" ref="D4:R4" si="0">C4+1</f>
        <v>2</v>
      </c>
      <c r="E4" s="58">
        <f t="shared" si="0"/>
        <v>3</v>
      </c>
      <c r="F4" s="58">
        <f t="shared" si="0"/>
        <v>4</v>
      </c>
      <c r="G4" s="58">
        <f t="shared" si="0"/>
        <v>5</v>
      </c>
      <c r="H4" s="58">
        <f t="shared" si="0"/>
        <v>6</v>
      </c>
      <c r="I4" s="58">
        <f t="shared" si="0"/>
        <v>7</v>
      </c>
      <c r="J4" s="58">
        <f t="shared" si="0"/>
        <v>8</v>
      </c>
      <c r="K4" s="58">
        <f t="shared" si="0"/>
        <v>9</v>
      </c>
      <c r="L4" s="58">
        <f t="shared" si="0"/>
        <v>10</v>
      </c>
      <c r="M4" s="58">
        <f t="shared" si="0"/>
        <v>11</v>
      </c>
      <c r="N4" s="58">
        <f t="shared" si="0"/>
        <v>12</v>
      </c>
      <c r="O4" s="58">
        <f t="shared" si="0"/>
        <v>13</v>
      </c>
      <c r="P4" s="58">
        <f t="shared" si="0"/>
        <v>14</v>
      </c>
      <c r="Q4" s="58">
        <f t="shared" si="0"/>
        <v>15</v>
      </c>
      <c r="R4" s="58">
        <f t="shared" si="0"/>
        <v>16</v>
      </c>
    </row>
    <row r="5" spans="2:30" ht="14.25" customHeight="1" x14ac:dyDescent="0.35">
      <c r="B5" s="52" t="str">
        <f>'Historical FS'!B3</f>
        <v xml:space="preserve">Years </v>
      </c>
      <c r="C5" s="57">
        <f>'Historical FS'!C3</f>
        <v>42825</v>
      </c>
      <c r="D5" s="57">
        <f>'Historical FS'!D3</f>
        <v>43190</v>
      </c>
      <c r="E5" s="57">
        <f>'Historical FS'!E3</f>
        <v>43555</v>
      </c>
      <c r="F5" s="57">
        <f>'Historical FS'!F3</f>
        <v>43921</v>
      </c>
      <c r="G5" s="57">
        <f>'Historical FS'!G3</f>
        <v>44286</v>
      </c>
      <c r="H5" s="57">
        <f>'Historical FS'!H3</f>
        <v>44651</v>
      </c>
      <c r="I5" s="57">
        <f>'Historical FS'!I3</f>
        <v>45016</v>
      </c>
      <c r="J5" s="57">
        <f>'Historical FS'!J3</f>
        <v>45382</v>
      </c>
      <c r="K5" s="57">
        <f>'Historical FS'!K3</f>
        <v>45747</v>
      </c>
      <c r="L5" s="57">
        <f>'Historical FS'!L3</f>
        <v>46112</v>
      </c>
      <c r="M5" s="62">
        <f>EOMONTH(L5,12)</f>
        <v>46477</v>
      </c>
      <c r="N5" s="62">
        <f t="shared" ref="N5:R5" si="1">EOMONTH(M5,12)</f>
        <v>46843</v>
      </c>
      <c r="O5" s="62">
        <f t="shared" si="1"/>
        <v>47208</v>
      </c>
      <c r="P5" s="62">
        <f t="shared" si="1"/>
        <v>47573</v>
      </c>
      <c r="Q5" s="62">
        <f t="shared" si="1"/>
        <v>47938</v>
      </c>
      <c r="R5" s="62">
        <f t="shared" si="1"/>
        <v>48304</v>
      </c>
    </row>
    <row r="6" spans="2:30" ht="14.25" customHeight="1" x14ac:dyDescent="0.35">
      <c r="B6" s="52" t="str">
        <f xml:space="preserve"> 'Historical FS'!B5</f>
        <v>Sales</v>
      </c>
      <c r="C6" s="56">
        <f>'Historical FS'!C5</f>
        <v>15061.99</v>
      </c>
      <c r="D6" s="56">
        <f>'Historical FS'!D5</f>
        <v>16824.55</v>
      </c>
      <c r="E6" s="56">
        <f>'Historical FS'!E5</f>
        <v>19240.13</v>
      </c>
      <c r="F6" s="56">
        <f>'Historical FS'!F5</f>
        <v>20211.25</v>
      </c>
      <c r="G6" s="56">
        <f>'Historical FS'!G5</f>
        <v>21712.79</v>
      </c>
      <c r="H6" s="56">
        <f>'Historical FS'!H5</f>
        <v>29101.279999999999</v>
      </c>
      <c r="I6" s="56">
        <f>'Historical FS'!I5</f>
        <v>34488.589999999997</v>
      </c>
      <c r="J6" s="56">
        <f>'Historical FS'!J5</f>
        <v>35494.730000000003</v>
      </c>
      <c r="K6" s="56">
        <f>'Historical FS'!K5</f>
        <v>33905.620000000003</v>
      </c>
      <c r="L6" s="56">
        <f>'Historical FS'!L5</f>
        <v>35583.54</v>
      </c>
      <c r="M6" s="56" cm="1">
        <f t="array" ref="M6:R6">_xlfn.XLOOKUP(F15,B19:B21,M19:R21,"Error",0)</f>
        <v>39318.457473640068</v>
      </c>
      <c r="N6" s="56">
        <v>43445.399139783243</v>
      </c>
      <c r="O6" s="56">
        <v>48005.512619117893</v>
      </c>
      <c r="P6" s="56">
        <v>53044.2644665224</v>
      </c>
      <c r="Q6" s="56">
        <v>58611.893494786578</v>
      </c>
      <c r="R6" s="56">
        <v>64763.911680071375</v>
      </c>
    </row>
    <row r="7" spans="2:30" ht="14.25" customHeight="1" x14ac:dyDescent="0.35">
      <c r="B7" s="52" t="str">
        <f>'Historical FS'!B6</f>
        <v>Sales Growth</v>
      </c>
      <c r="D7" s="54">
        <f>D6/C6-1</f>
        <v>0.11702039371955486</v>
      </c>
      <c r="E7" s="54">
        <f t="shared" ref="E7:L7" si="2">E6/D6-1</f>
        <v>0.14357471670861943</v>
      </c>
      <c r="F7" s="54">
        <f t="shared" si="2"/>
        <v>5.0473671435691925E-2</v>
      </c>
      <c r="G7" s="54">
        <f t="shared" si="2"/>
        <v>7.4292287711052118E-2</v>
      </c>
      <c r="H7" s="54">
        <f t="shared" si="2"/>
        <v>0.34028284711453471</v>
      </c>
      <c r="I7" s="54">
        <f t="shared" si="2"/>
        <v>0.18512278497715551</v>
      </c>
      <c r="J7" s="54">
        <f t="shared" si="2"/>
        <v>2.9173126532572313E-2</v>
      </c>
      <c r="K7" s="54">
        <f t="shared" si="2"/>
        <v>-4.4770308155605121E-2</v>
      </c>
      <c r="L7" s="54">
        <f t="shared" si="2"/>
        <v>4.9487960992897317E-2</v>
      </c>
      <c r="M7" s="54">
        <f>M6/L6-1</f>
        <v>0.10496194233738598</v>
      </c>
      <c r="N7" s="54">
        <f t="shared" ref="N7" si="3">N6/M6-1</f>
        <v>0.10496194233738598</v>
      </c>
      <c r="O7" s="54">
        <f t="shared" ref="O7" si="4">O6/N6-1</f>
        <v>0.10496194233738598</v>
      </c>
      <c r="P7" s="54">
        <f t="shared" ref="P7" si="5">P6/O6-1</f>
        <v>0.10496194233738598</v>
      </c>
      <c r="Q7" s="54">
        <f t="shared" ref="Q7" si="6">Q6/P6-1</f>
        <v>0.10496194233738598</v>
      </c>
      <c r="R7" s="54">
        <f t="shared" ref="R7" si="7">R6/Q6-1</f>
        <v>0.10496194233738598</v>
      </c>
    </row>
    <row r="8" spans="2:30" ht="14.25" customHeight="1" x14ac:dyDescent="0.35">
      <c r="B8" s="52"/>
      <c r="E8" s="51"/>
      <c r="F8" s="51"/>
    </row>
    <row r="9" spans="2:30" ht="14.25" customHeight="1" x14ac:dyDescent="0.35">
      <c r="B9" s="135" t="s">
        <v>153</v>
      </c>
      <c r="C9" s="135"/>
      <c r="D9" s="135"/>
      <c r="E9" s="135"/>
      <c r="F9" s="51"/>
    </row>
    <row r="10" spans="2:30" ht="14.25" customHeight="1" x14ac:dyDescent="0.35">
      <c r="B10" s="52"/>
      <c r="E10" s="51"/>
      <c r="F10" s="51"/>
      <c r="O10" s="56"/>
      <c r="P10" s="56"/>
      <c r="Q10" s="56"/>
      <c r="R10" s="56"/>
      <c r="S10" s="56"/>
      <c r="T10" s="56"/>
      <c r="U10" s="56"/>
      <c r="V10" s="56"/>
      <c r="W10" s="56"/>
      <c r="X10" s="56"/>
      <c r="Y10" s="56"/>
      <c r="Z10" s="56"/>
      <c r="AA10" s="56"/>
      <c r="AB10" s="56"/>
      <c r="AC10" s="56"/>
      <c r="AD10" s="56"/>
    </row>
    <row r="11" spans="2:30" ht="14.25" customHeight="1" x14ac:dyDescent="0.35">
      <c r="B11" s="55" t="s">
        <v>152</v>
      </c>
      <c r="E11" s="51"/>
      <c r="F11" s="54">
        <f>AVERAGE($D$7:$L$7)</f>
        <v>0.1049619423373859</v>
      </c>
    </row>
    <row r="12" spans="2:30" ht="14.25" customHeight="1" x14ac:dyDescent="0.35">
      <c r="B12" s="55" t="s">
        <v>151</v>
      </c>
      <c r="E12" s="51"/>
      <c r="F12" s="54">
        <f>_xlfn.RRI($L$4-1,$C$6,$L$6)</f>
        <v>0.10023434957440602</v>
      </c>
    </row>
    <row r="13" spans="2:30" ht="14.25" customHeight="1" x14ac:dyDescent="0.35">
      <c r="B13" s="55" t="s">
        <v>150</v>
      </c>
      <c r="E13" s="51"/>
      <c r="F13" s="54" cm="1">
        <f t="array" ref="F13">EXP(SLOPE(LN($C$6:$L$6),$C$4:$L$4))-1</f>
        <v>0.11256704189817857</v>
      </c>
    </row>
    <row r="14" spans="2:30" ht="14.25" customHeight="1" x14ac:dyDescent="0.35">
      <c r="B14" s="55"/>
      <c r="E14" s="51"/>
      <c r="F14" s="54"/>
    </row>
    <row r="15" spans="2:30" ht="14.25" customHeight="1" x14ac:dyDescent="0.35">
      <c r="B15" s="51" t="s">
        <v>158</v>
      </c>
      <c r="E15" s="51"/>
      <c r="F15" s="136" t="s">
        <v>156</v>
      </c>
      <c r="G15" s="136"/>
      <c r="H15" s="136"/>
    </row>
    <row r="16" spans="2:30" ht="14.25" customHeight="1" x14ac:dyDescent="0.35">
      <c r="B16" s="52"/>
      <c r="E16" s="51"/>
      <c r="F16" s="51"/>
    </row>
    <row r="17" spans="2:18" ht="14.25" customHeight="1" x14ac:dyDescent="0.35">
      <c r="B17" s="135" t="s">
        <v>157</v>
      </c>
      <c r="C17" s="135"/>
      <c r="D17" s="135"/>
      <c r="E17" s="135"/>
      <c r="F17" s="51"/>
    </row>
    <row r="18" spans="2:18" ht="14.25" customHeight="1" x14ac:dyDescent="0.35">
      <c r="E18" s="51"/>
      <c r="F18" s="51"/>
    </row>
    <row r="19" spans="2:18" ht="14.25" customHeight="1" x14ac:dyDescent="0.35">
      <c r="B19" s="55" t="s">
        <v>156</v>
      </c>
      <c r="E19" s="51"/>
      <c r="F19" s="51"/>
      <c r="M19" s="56">
        <f>L6*(1+$F$11)</f>
        <v>39318.457473640068</v>
      </c>
      <c r="N19" s="56">
        <f>M19*(1+$F$11)</f>
        <v>43445.399139783243</v>
      </c>
      <c r="O19" s="56">
        <f>N19*(1+$F$11)</f>
        <v>48005.512619117893</v>
      </c>
      <c r="P19" s="56">
        <f>O19*(1+$F$11)</f>
        <v>53044.2644665224</v>
      </c>
      <c r="Q19" s="56">
        <f>P19*(1+$F$11)</f>
        <v>58611.893494786578</v>
      </c>
      <c r="R19" s="56">
        <f>Q19*(1+$F$11)</f>
        <v>64763.911680071375</v>
      </c>
    </row>
    <row r="20" spans="2:18" ht="14.25" customHeight="1" x14ac:dyDescent="0.35">
      <c r="B20" s="55" t="s">
        <v>155</v>
      </c>
      <c r="E20" s="51"/>
      <c r="F20" s="51"/>
      <c r="M20" s="56">
        <f>$L$6*(1+$F$12)</f>
        <v>39150.23298745486</v>
      </c>
      <c r="N20" s="56">
        <f>M20*(1+$F$12)</f>
        <v>43074.431126638854</v>
      </c>
      <c r="O20" s="56">
        <f>N20*(1+$F$12)</f>
        <v>47391.968713905051</v>
      </c>
      <c r="P20" s="56">
        <f>O20*(1+$F$12)</f>
        <v>52142.271872993922</v>
      </c>
      <c r="Q20" s="56">
        <f>P20*(1+$F$12)</f>
        <v>57368.718579515313</v>
      </c>
      <c r="R20" s="56">
        <f>Q20*(1+$F$12)</f>
        <v>63119.034772250176</v>
      </c>
    </row>
    <row r="21" spans="2:18" ht="14.25" customHeight="1" x14ac:dyDescent="0.35">
      <c r="B21" s="55" t="s">
        <v>154</v>
      </c>
      <c r="E21" s="51"/>
      <c r="F21" s="51"/>
      <c r="M21" s="56">
        <f>$L$6*(1+$F$13)</f>
        <v>39589.073838065517</v>
      </c>
      <c r="N21" s="56">
        <f>M21*(1+$F$13)</f>
        <v>44045.498771505125</v>
      </c>
      <c r="O21" s="56">
        <f>N21*(1+$F$13)</f>
        <v>49003.570277143313</v>
      </c>
      <c r="P21" s="56">
        <f>O21*(1+$F$13)</f>
        <v>54519.757225690846</v>
      </c>
      <c r="Q21" s="56">
        <f>P21*(1+$F$13)</f>
        <v>60656.885021593713</v>
      </c>
      <c r="R21" s="56">
        <f>Q21*(1+$F$13)</f>
        <v>67484.851139232458</v>
      </c>
    </row>
    <row r="22" spans="2:18" ht="14.25" customHeight="1" x14ac:dyDescent="0.35">
      <c r="B22" s="61"/>
      <c r="E22" s="51"/>
      <c r="F22" s="51"/>
    </row>
    <row r="23" spans="2:18" ht="14.25" customHeight="1" x14ac:dyDescent="0.35">
      <c r="B23" s="60"/>
      <c r="E23" s="51"/>
      <c r="F23" s="51"/>
    </row>
    <row r="24" spans="2:18" x14ac:dyDescent="0.35">
      <c r="B24" s="135" t="str">
        <f>'Data Sheet'!$B$1&amp; " - " &amp;'Historical FS'!B17&amp; " Forecast 3 Methods"</f>
        <v>ASIAN PAINTS LTD - EBITDA Forecast 3 Methods</v>
      </c>
      <c r="C24" s="135"/>
      <c r="D24" s="135"/>
      <c r="E24" s="135"/>
      <c r="F24" s="135"/>
      <c r="G24" s="135"/>
      <c r="H24" s="135"/>
      <c r="I24" s="135"/>
      <c r="J24" s="135"/>
      <c r="K24" s="135"/>
      <c r="L24" s="135"/>
      <c r="M24" s="135"/>
      <c r="N24" s="135"/>
      <c r="O24" s="135"/>
      <c r="P24" s="135"/>
      <c r="Q24" s="135"/>
      <c r="R24" s="135"/>
    </row>
    <row r="26" spans="2:18" x14ac:dyDescent="0.35">
      <c r="B26" s="52" t="s">
        <v>149</v>
      </c>
      <c r="C26" s="58">
        <v>1</v>
      </c>
      <c r="D26" s="58">
        <f t="shared" ref="D26:R26" si="8">C26+1</f>
        <v>2</v>
      </c>
      <c r="E26" s="58">
        <f t="shared" si="8"/>
        <v>3</v>
      </c>
      <c r="F26" s="58">
        <f t="shared" si="8"/>
        <v>4</v>
      </c>
      <c r="G26" s="58">
        <f t="shared" si="8"/>
        <v>5</v>
      </c>
      <c r="H26" s="58">
        <f t="shared" si="8"/>
        <v>6</v>
      </c>
      <c r="I26" s="58">
        <f t="shared" si="8"/>
        <v>7</v>
      </c>
      <c r="J26" s="58">
        <f t="shared" si="8"/>
        <v>8</v>
      </c>
      <c r="K26" s="58">
        <f t="shared" si="8"/>
        <v>9</v>
      </c>
      <c r="L26" s="58">
        <f t="shared" si="8"/>
        <v>10</v>
      </c>
      <c r="M26" s="58">
        <f t="shared" si="8"/>
        <v>11</v>
      </c>
      <c r="N26" s="58">
        <f t="shared" si="8"/>
        <v>12</v>
      </c>
      <c r="O26" s="58">
        <f t="shared" si="8"/>
        <v>13</v>
      </c>
      <c r="P26" s="58">
        <f t="shared" si="8"/>
        <v>14</v>
      </c>
      <c r="Q26" s="58">
        <f t="shared" si="8"/>
        <v>15</v>
      </c>
      <c r="R26" s="58">
        <f t="shared" si="8"/>
        <v>16</v>
      </c>
    </row>
    <row r="27" spans="2:18" x14ac:dyDescent="0.35">
      <c r="B27" s="52" t="str">
        <f>'Historical FS'!B3</f>
        <v xml:space="preserve">Years </v>
      </c>
      <c r="C27" s="57">
        <f>'Historical FS'!C3</f>
        <v>42825</v>
      </c>
      <c r="D27" s="57">
        <f>'Historical FS'!D3</f>
        <v>43190</v>
      </c>
      <c r="E27" s="57">
        <f>'Historical FS'!E3</f>
        <v>43555</v>
      </c>
      <c r="F27" s="57">
        <f>'Historical FS'!F3</f>
        <v>43921</v>
      </c>
      <c r="G27" s="57">
        <f>'Historical FS'!G3</f>
        <v>44286</v>
      </c>
      <c r="H27" s="57">
        <f>'Historical FS'!H3</f>
        <v>44651</v>
      </c>
      <c r="I27" s="57">
        <f>'Historical FS'!I3</f>
        <v>45016</v>
      </c>
      <c r="J27" s="57">
        <f>'Historical FS'!J3</f>
        <v>45382</v>
      </c>
      <c r="K27" s="57">
        <f>'Historical FS'!K3</f>
        <v>45747</v>
      </c>
      <c r="L27" s="57">
        <f>'Historical FS'!L3</f>
        <v>46112</v>
      </c>
      <c r="M27" s="62">
        <f>L27+365</f>
        <v>46477</v>
      </c>
      <c r="N27" s="62">
        <f t="shared" ref="N27:R27" si="9">M27+365</f>
        <v>46842</v>
      </c>
      <c r="O27" s="62">
        <f t="shared" si="9"/>
        <v>47207</v>
      </c>
      <c r="P27" s="62">
        <f t="shared" si="9"/>
        <v>47572</v>
      </c>
      <c r="Q27" s="62">
        <f t="shared" si="9"/>
        <v>47937</v>
      </c>
      <c r="R27" s="62">
        <f t="shared" si="9"/>
        <v>48302</v>
      </c>
    </row>
    <row r="28" spans="2:18" x14ac:dyDescent="0.35">
      <c r="B28" s="51" t="s">
        <v>65</v>
      </c>
      <c r="C28" s="56">
        <f>'Historical FS'!C17</f>
        <v>2993.76</v>
      </c>
      <c r="D28" s="56">
        <f>'Historical FS'!D17</f>
        <v>3204.0100000000011</v>
      </c>
      <c r="E28" s="56">
        <f>'Historical FS'!E17</f>
        <v>3764.9400000000014</v>
      </c>
      <c r="F28" s="56">
        <f>'Historical FS'!F17</f>
        <v>4161.7699999999977</v>
      </c>
      <c r="G28" s="56">
        <f>'Historical FS'!G17</f>
        <v>4855.6000000000031</v>
      </c>
      <c r="H28" s="56">
        <f>'Historical FS'!H17</f>
        <v>4803.6099999999988</v>
      </c>
      <c r="I28" s="56">
        <f>'Historical FS'!I17</f>
        <v>6259.8399999999956</v>
      </c>
      <c r="J28" s="56">
        <f>'Historical FS'!J17</f>
        <v>7584.9800000000014</v>
      </c>
      <c r="K28" s="56">
        <f>'Historical FS'!K17</f>
        <v>6006.2100000000019</v>
      </c>
      <c r="L28" s="56">
        <f>'Historical FS'!L17</f>
        <v>6699.7300000000041</v>
      </c>
      <c r="M28" s="56" cm="1">
        <f t="array" ref="M28:R28">_xlfn.XLOOKUP(F38,B42:B44,M42:R44,"Error",0)</f>
        <v>7391.1981436716751</v>
      </c>
      <c r="N28" s="56">
        <v>8154.0315802301857</v>
      </c>
      <c r="O28" s="56">
        <v>8995.5958044932449</v>
      </c>
      <c r="P28" s="56">
        <v>9924.0164919170093</v>
      </c>
      <c r="Q28" s="56">
        <v>10948.257955592844</v>
      </c>
      <c r="R28" s="56">
        <v>12078.209700662032</v>
      </c>
    </row>
    <row r="29" spans="2:18" x14ac:dyDescent="0.35">
      <c r="B29" s="54" t="str">
        <f>'Historical FS'!B18</f>
        <v>EBITDA Margins</v>
      </c>
      <c r="C29" s="54">
        <f>C28/C6</f>
        <v>0.19876258050895004</v>
      </c>
      <c r="D29" s="54">
        <f t="shared" ref="D29:K29" si="10">D28/D6</f>
        <v>0.19043659414367703</v>
      </c>
      <c r="E29" s="54">
        <f t="shared" si="10"/>
        <v>0.19568163000977651</v>
      </c>
      <c r="F29" s="54">
        <f t="shared" si="10"/>
        <v>0.2059135382522109</v>
      </c>
      <c r="G29" s="54">
        <f t="shared" si="10"/>
        <v>0.22362856178317034</v>
      </c>
      <c r="H29" s="54">
        <f t="shared" si="10"/>
        <v>0.16506524798909186</v>
      </c>
      <c r="I29" s="54">
        <f t="shared" si="10"/>
        <v>0.1815046657459756</v>
      </c>
      <c r="J29" s="54">
        <f t="shared" si="10"/>
        <v>0.21369313134654075</v>
      </c>
      <c r="K29" s="54">
        <f t="shared" si="10"/>
        <v>0.17714496888716388</v>
      </c>
      <c r="L29" s="54">
        <f>L28/L6</f>
        <v>0.18828171677129379</v>
      </c>
      <c r="M29" s="54">
        <f t="shared" ref="M29:R29" si="11">M28/M6</f>
        <v>0.18798291231610223</v>
      </c>
      <c r="N29" s="54">
        <f t="shared" si="11"/>
        <v>0.18768458206575628</v>
      </c>
      <c r="O29" s="54">
        <f t="shared" si="11"/>
        <v>0.18738672526768949</v>
      </c>
      <c r="P29" s="54">
        <f t="shared" si="11"/>
        <v>0.18708934117052958</v>
      </c>
      <c r="Q29" s="54">
        <f t="shared" si="11"/>
        <v>0.18679242902409682</v>
      </c>
      <c r="R29" s="54">
        <f t="shared" si="11"/>
        <v>0.18649598807940196</v>
      </c>
    </row>
    <row r="30" spans="2:18" x14ac:dyDescent="0.35">
      <c r="B30" s="54" t="s">
        <v>117</v>
      </c>
      <c r="C30" s="54"/>
      <c r="D30" s="54">
        <f>D28/C28-1</f>
        <v>7.0229410507188561E-2</v>
      </c>
      <c r="E30" s="54">
        <f t="shared" ref="E30:R30" si="12">E28/D28-1</f>
        <v>0.17507123885381137</v>
      </c>
      <c r="F30" s="54">
        <f t="shared" si="12"/>
        <v>0.10540141409955961</v>
      </c>
      <c r="G30" s="54">
        <f t="shared" si="12"/>
        <v>0.16671512361327179</v>
      </c>
      <c r="H30" s="54">
        <f t="shared" si="12"/>
        <v>-1.0707224647830249E-2</v>
      </c>
      <c r="I30" s="54">
        <f t="shared" si="12"/>
        <v>0.3031532534906034</v>
      </c>
      <c r="J30" s="54">
        <f t="shared" si="12"/>
        <v>0.21168911665473988</v>
      </c>
      <c r="K30" s="54">
        <f t="shared" si="12"/>
        <v>-0.20814425351154509</v>
      </c>
      <c r="L30" s="54">
        <f t="shared" si="12"/>
        <v>0.11546715815797359</v>
      </c>
      <c r="M30" s="54">
        <f t="shared" si="12"/>
        <v>0.10320835969086373</v>
      </c>
      <c r="N30" s="54">
        <f t="shared" si="12"/>
        <v>0.10320835969086373</v>
      </c>
      <c r="O30" s="54">
        <f t="shared" si="12"/>
        <v>0.10320835969086373</v>
      </c>
      <c r="P30" s="54">
        <f t="shared" si="12"/>
        <v>0.10320835969086373</v>
      </c>
      <c r="Q30" s="54">
        <f t="shared" si="12"/>
        <v>0.10320835969086373</v>
      </c>
      <c r="R30" s="54">
        <f t="shared" si="12"/>
        <v>0.10320835969086373</v>
      </c>
    </row>
    <row r="32" spans="2:18" x14ac:dyDescent="0.35">
      <c r="B32" s="135" t="s">
        <v>153</v>
      </c>
      <c r="C32" s="135"/>
      <c r="D32" s="135"/>
      <c r="E32" s="135"/>
    </row>
    <row r="33" spans="2:18" x14ac:dyDescent="0.35">
      <c r="B33" s="52"/>
      <c r="E33" s="51"/>
    </row>
    <row r="34" spans="2:18" x14ac:dyDescent="0.35">
      <c r="B34" s="55" t="s">
        <v>193</v>
      </c>
      <c r="E34" s="51"/>
      <c r="F34" s="54">
        <f>AVERAGE($D$30:$L$30)</f>
        <v>0.10320835969086367</v>
      </c>
      <c r="H34" s="54"/>
    </row>
    <row r="35" spans="2:18" x14ac:dyDescent="0.35">
      <c r="B35" s="55" t="s">
        <v>151</v>
      </c>
      <c r="E35" s="51"/>
      <c r="F35" s="54">
        <f>_xlfn.RRI($L$26-1,$C$28,$L$28)</f>
        <v>9.3631842057166903E-2</v>
      </c>
    </row>
    <row r="36" spans="2:18" x14ac:dyDescent="0.35">
      <c r="B36" s="55" t="s">
        <v>150</v>
      </c>
      <c r="E36" s="51"/>
      <c r="F36" s="54" cm="1">
        <f t="array" ref="F36">EXP(SLOPE(LN($C$28:$L$28),$C$26:$L$26))-1</f>
        <v>0.10426462913641887</v>
      </c>
    </row>
    <row r="38" spans="2:18" x14ac:dyDescent="0.35">
      <c r="B38" s="51" t="s">
        <v>158</v>
      </c>
      <c r="F38" s="137" t="s">
        <v>156</v>
      </c>
      <c r="G38" s="137"/>
      <c r="H38" s="137"/>
    </row>
    <row r="40" spans="2:18" x14ac:dyDescent="0.35">
      <c r="B40" s="135" t="s">
        <v>159</v>
      </c>
      <c r="C40" s="135"/>
      <c r="D40" s="135"/>
      <c r="E40" s="135"/>
    </row>
    <row r="41" spans="2:18" x14ac:dyDescent="0.35">
      <c r="B41" s="59"/>
      <c r="C41" s="59"/>
      <c r="D41" s="59"/>
      <c r="E41" s="59"/>
    </row>
    <row r="42" spans="2:18" x14ac:dyDescent="0.35">
      <c r="B42" s="55" t="s">
        <v>156</v>
      </c>
      <c r="E42" s="51"/>
      <c r="M42" s="56">
        <f>$L$28*(1+$F$34)</f>
        <v>7391.1981436716751</v>
      </c>
      <c r="N42" s="56">
        <f>M42*(1+$F$34)</f>
        <v>8154.0315802301857</v>
      </c>
      <c r="O42" s="56">
        <f t="shared" ref="O42:R42" si="13">N42*(1+$F$34)</f>
        <v>8995.5958044932449</v>
      </c>
      <c r="P42" s="56">
        <f t="shared" si="13"/>
        <v>9924.0164919170093</v>
      </c>
      <c r="Q42" s="56">
        <f t="shared" si="13"/>
        <v>10948.257955592844</v>
      </c>
      <c r="R42" s="56">
        <f t="shared" si="13"/>
        <v>12078.209700662032</v>
      </c>
    </row>
    <row r="43" spans="2:18" x14ac:dyDescent="0.35">
      <c r="B43" s="55" t="s">
        <v>155</v>
      </c>
      <c r="E43" s="51"/>
      <c r="M43" s="56">
        <f>$L$28*(1+$F$35)</f>
        <v>7327.0380611856672</v>
      </c>
      <c r="N43" s="56">
        <f>M43*(1+$F$35)</f>
        <v>8013.0821316774536</v>
      </c>
      <c r="O43" s="56">
        <f t="shared" ref="O43:R43" si="14">N43*(1+$F$35)</f>
        <v>8763.3617722217841</v>
      </c>
      <c r="P43" s="56">
        <f t="shared" si="14"/>
        <v>9583.8914775682679</v>
      </c>
      <c r="Q43" s="56">
        <f t="shared" si="14"/>
        <v>10481.248890688968</v>
      </c>
      <c r="R43" s="56">
        <f t="shared" si="14"/>
        <v>11462.627531383814</v>
      </c>
    </row>
    <row r="44" spans="2:18" x14ac:dyDescent="0.35">
      <c r="B44" s="55" t="s">
        <v>154</v>
      </c>
      <c r="E44" s="51"/>
      <c r="M44" s="56">
        <f>$L$28*(1+$F$36)</f>
        <v>7398.2748637641444</v>
      </c>
      <c r="N44" s="56">
        <f>M44*(1+$F$36)</f>
        <v>8169.6532486838023</v>
      </c>
      <c r="O44" s="56">
        <f t="shared" ref="O44:R44" si="15">N44*(1+$F$36)</f>
        <v>9021.4591148309592</v>
      </c>
      <c r="P44" s="56">
        <f t="shared" si="15"/>
        <v>9962.0782037081754</v>
      </c>
      <c r="Q44" s="56">
        <f t="shared" si="15"/>
        <v>11000.770593045811</v>
      </c>
      <c r="R44" s="56">
        <f t="shared" si="15"/>
        <v>12147.761859144555</v>
      </c>
    </row>
  </sheetData>
  <mergeCells count="8">
    <mergeCell ref="B40:E40"/>
    <mergeCell ref="F15:H15"/>
    <mergeCell ref="B24:R24"/>
    <mergeCell ref="B2:R2"/>
    <mergeCell ref="F38:H38"/>
    <mergeCell ref="B9:E9"/>
    <mergeCell ref="B17:E17"/>
    <mergeCell ref="B32:E32"/>
  </mergeCells>
  <dataValidations count="2">
    <dataValidation type="list" allowBlank="1" showInputMessage="1" showErrorMessage="1" sqref="F38" xr:uid="{02C25544-B74E-451E-A4ED-5FAB3D6852CD}">
      <formula1>$B$42:$B$44</formula1>
    </dataValidation>
    <dataValidation type="list" allowBlank="1" showInputMessage="1" showErrorMessage="1" sqref="F15" xr:uid="{018292AF-0F12-4067-8280-6C551C940B07}">
      <formula1>$B$19:$B$21</formula1>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C939-9D7D-4EE4-B59A-0AF7D8176D35}">
  <dimension ref="B2:J20"/>
  <sheetViews>
    <sheetView showGridLines="0" zoomScale="80" workbookViewId="0">
      <selection activeCell="C13" sqref="C13"/>
    </sheetView>
  </sheetViews>
  <sheetFormatPr defaultRowHeight="14.5" x14ac:dyDescent="0.35"/>
  <cols>
    <col min="1" max="1" width="1.81640625" customWidth="1"/>
    <col min="2" max="2" width="10.6328125" customWidth="1"/>
    <col min="3" max="3" width="10.453125" customWidth="1"/>
    <col min="4" max="4" width="10.08984375" customWidth="1"/>
    <col min="5" max="5" width="9.453125" customWidth="1"/>
    <col min="6" max="6" width="9.6328125" customWidth="1"/>
    <col min="7" max="7" width="11.54296875" bestFit="1" customWidth="1"/>
    <col min="8" max="8" width="9.1796875" customWidth="1"/>
    <col min="9" max="9" width="10.08984375" customWidth="1"/>
    <col min="10" max="10" width="11.26953125" bestFit="1" customWidth="1"/>
  </cols>
  <sheetData>
    <row r="2" spans="2:10" x14ac:dyDescent="0.35">
      <c r="B2" s="7" t="s">
        <v>179</v>
      </c>
      <c r="C2" s="7"/>
      <c r="D2" s="7"/>
      <c r="E2" s="7"/>
      <c r="F2" s="7"/>
      <c r="G2" s="87" t="s">
        <v>177</v>
      </c>
    </row>
    <row r="3" spans="2:10" x14ac:dyDescent="0.35">
      <c r="B3" t="s">
        <v>160</v>
      </c>
      <c r="G3" s="89">
        <f>Projections!$M$19/Projections!$L$6-1</f>
        <v>0.10496194233738598</v>
      </c>
    </row>
    <row r="4" spans="2:10" x14ac:dyDescent="0.35">
      <c r="B4" t="s">
        <v>121</v>
      </c>
      <c r="G4" s="89">
        <f>Projections!$M$42/Projections!$M$19</f>
        <v>0.18798291231610223</v>
      </c>
    </row>
    <row r="5" spans="2:10" x14ac:dyDescent="0.35">
      <c r="G5" s="23"/>
    </row>
    <row r="6" spans="2:10" x14ac:dyDescent="0.35">
      <c r="B6" t="s">
        <v>178</v>
      </c>
      <c r="G6" s="88">
        <f>Projections!$L$6*(1+$G$3)</f>
        <v>39318.457473640068</v>
      </c>
    </row>
    <row r="7" spans="2:10" x14ac:dyDescent="0.35">
      <c r="B7" t="s">
        <v>161</v>
      </c>
      <c r="G7" s="106">
        <f>G6*G4</f>
        <v>7391.1981436716751</v>
      </c>
      <c r="J7" s="36"/>
    </row>
    <row r="8" spans="2:10" x14ac:dyDescent="0.35">
      <c r="J8" s="36"/>
    </row>
    <row r="9" spans="2:10" x14ac:dyDescent="0.35">
      <c r="B9" s="7" t="s">
        <v>162</v>
      </c>
      <c r="C9" s="7"/>
      <c r="D9" s="7"/>
      <c r="E9" s="7"/>
      <c r="F9" s="7"/>
      <c r="G9" s="7"/>
      <c r="H9" s="86"/>
      <c r="I9" s="86"/>
      <c r="J9" s="36"/>
    </row>
    <row r="10" spans="2:10" s="75" customFormat="1" x14ac:dyDescent="0.35">
      <c r="B10" s="85" t="s">
        <v>176</v>
      </c>
      <c r="C10" s="86"/>
      <c r="D10" s="86"/>
      <c r="E10" s="86"/>
      <c r="F10" s="86"/>
      <c r="G10" s="86"/>
      <c r="H10"/>
    </row>
    <row r="12" spans="2:10" x14ac:dyDescent="0.35">
      <c r="B12" s="90">
        <f>G7</f>
        <v>7391.1981436716751</v>
      </c>
      <c r="C12" s="99">
        <f>D12-0.04</f>
        <v>2.4961942337385974E-2</v>
      </c>
      <c r="D12" s="99">
        <f>E12-0.04</f>
        <v>6.4961942337385975E-2</v>
      </c>
      <c r="E12" s="99">
        <f>Projections!$M$19/Projections!$L$6-1</f>
        <v>0.10496194233738598</v>
      </c>
      <c r="F12" s="99">
        <f>E12+0.04</f>
        <v>0.14496194233738599</v>
      </c>
      <c r="G12" s="99">
        <f>F12+0.04</f>
        <v>0.184961942337386</v>
      </c>
      <c r="H12" s="63"/>
    </row>
    <row r="13" spans="2:10" x14ac:dyDescent="0.35">
      <c r="B13" s="99">
        <f>B14-0.02</f>
        <v>0.14798291231610225</v>
      </c>
      <c r="C13" s="91">
        <f t="dataTable" ref="C13:G17" dt2D="1" dtr="1" r1="G3" r2="G4"/>
        <v>5397.1993743487519</v>
      </c>
      <c r="D13" s="91">
        <v>5607.8296095374126</v>
      </c>
      <c r="E13" s="91">
        <v>5818.4598447260732</v>
      </c>
      <c r="F13" s="91">
        <v>6029.0900799147339</v>
      </c>
      <c r="G13" s="91">
        <v>6239.7203151033946</v>
      </c>
      <c r="H13" s="63"/>
    </row>
    <row r="14" spans="2:10" x14ac:dyDescent="0.35">
      <c r="B14" s="99">
        <f>B15-0.02</f>
        <v>0.16798291231610224</v>
      </c>
      <c r="C14" s="91">
        <v>6126.6348598215527</v>
      </c>
      <c r="D14" s="91">
        <v>6365.7319270102134</v>
      </c>
      <c r="E14" s="91">
        <v>6604.8289941988742</v>
      </c>
      <c r="F14" s="91">
        <v>6843.9260613875349</v>
      </c>
      <c r="G14" s="91">
        <v>7083.0231285761956</v>
      </c>
      <c r="H14" s="63"/>
    </row>
    <row r="15" spans="2:10" x14ac:dyDescent="0.35">
      <c r="B15" s="99">
        <f>Projections!$M$42/Projections!$M$19</f>
        <v>0.18798291231610223</v>
      </c>
      <c r="C15" s="91">
        <v>6856.0703452943544</v>
      </c>
      <c r="D15" s="91">
        <v>7123.6342444830143</v>
      </c>
      <c r="E15" s="92">
        <v>7391.1981436716751</v>
      </c>
      <c r="F15" s="91">
        <v>7658.7620428603359</v>
      </c>
      <c r="G15" s="91">
        <v>7926.3259420489967</v>
      </c>
      <c r="H15" s="63"/>
    </row>
    <row r="16" spans="2:10" x14ac:dyDescent="0.35">
      <c r="B16" s="99">
        <f>B15+0.02</f>
        <v>0.20798291231610222</v>
      </c>
      <c r="C16" s="91">
        <v>7585.5058307671552</v>
      </c>
      <c r="D16" s="91">
        <v>7881.5365619558161</v>
      </c>
      <c r="E16" s="91">
        <v>8177.567293144476</v>
      </c>
      <c r="F16" s="91">
        <v>8473.5980243331378</v>
      </c>
      <c r="G16" s="91">
        <v>8769.6287555217968</v>
      </c>
      <c r="H16" s="63"/>
    </row>
    <row r="17" spans="2:7" x14ac:dyDescent="0.35">
      <c r="B17" s="99">
        <f>B16+0.02</f>
        <v>0.22798291231610221</v>
      </c>
      <c r="C17" s="91">
        <v>8314.941316239956</v>
      </c>
      <c r="D17" s="91">
        <v>8639.4388794286169</v>
      </c>
      <c r="E17" s="91">
        <v>8963.9364426172779</v>
      </c>
      <c r="F17" s="91">
        <v>9288.434005805937</v>
      </c>
      <c r="G17" s="91">
        <v>9612.9315689945979</v>
      </c>
    </row>
    <row r="19" spans="2:7" x14ac:dyDescent="0.35">
      <c r="B19" s="75" t="s">
        <v>190</v>
      </c>
      <c r="C19" s="91" t="str">
        <f>"₹"&amp;TEXT(MIN(C13:G17),"#,##0")&amp;"- ₹"&amp;TEXT(MAX(C13:G17),"#,##0")</f>
        <v>₹5,397- ₹9,613</v>
      </c>
    </row>
    <row r="20" spans="2:7" x14ac:dyDescent="0.35">
      <c r="B20" s="70" t="s">
        <v>166</v>
      </c>
      <c r="C20" t="str">
        <f>TEXT((C13-E15)/E15,"+0%;-0%")&amp; " / " &amp;TEXT((G17-E15)/E15,"+0%;-0%")</f>
        <v>-27% / +30%</v>
      </c>
    </row>
  </sheetData>
  <conditionalFormatting sqref="C13:G17">
    <cfRule type="colorScale" priority="2">
      <colorScale>
        <cfvo type="min"/>
        <cfvo type="percentile" val="50"/>
        <cfvo type="max"/>
        <color rgb="FFF8696B"/>
        <color rgb="FFFCFCFF"/>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Data Sheet</vt:lpstr>
      <vt:lpstr>Historical FS</vt:lpstr>
      <vt:lpstr>Ratio Analysis</vt:lpstr>
      <vt:lpstr>Projections</vt:lpstr>
      <vt:lpstr>Sensitivity Analysis</vt:lpstr>
      <vt:lpstr>'Data Sheet'!UPDATE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amshiv4852@outlook.com</dc:creator>
  <cp:lastModifiedBy>Shivam Gupta</cp:lastModifiedBy>
  <cp:lastPrinted>2026-09-09T09:07:57Z</cp:lastPrinted>
  <dcterms:created xsi:type="dcterms:W3CDTF">2026-09-07T07:54:36Z</dcterms:created>
  <dcterms:modified xsi:type="dcterms:W3CDTF">2026-10-08T20:10:54Z</dcterms:modified>
</cp:coreProperties>
</file>